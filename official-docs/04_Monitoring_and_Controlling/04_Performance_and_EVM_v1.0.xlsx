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2ed315f90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M" sheetId="1" r:id="R57da35c8bd3b41d3"/>
    <x:sheet xmlns:r="http://schemas.openxmlformats.org/officeDocument/2006/relationships" name="Variance" sheetId="2" r:id="Re85e3451937d4b75"/>
    <x:sheet xmlns:r="http://schemas.openxmlformats.org/officeDocument/2006/relationships" name="Inputs" sheetId="3" r:id="Rbb8ad62e436c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#,##0.00;(#,##0.00);&quot;–&quot;"/>
  </x:numFmts>
  <x:fonts count="5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2D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1dcb6b9b74231" /><Relationship Type="http://schemas.openxmlformats.org/officeDocument/2006/relationships/theme" Target="/xl/theme/theme1.xml" Id="R644e5b8c20b34490" /><Relationship Type="http://schemas.openxmlformats.org/officeDocument/2006/relationships/sharedStrings" Target="/xl/sharedStrings.xml" Id="Rb47836cf300b4271" /><Relationship Type="http://schemas.openxmlformats.org/officeDocument/2006/relationships/worksheet" Target="/xl/worksheets/sheet1.xml" Id="R57da35c8bd3b41d3" /><Relationship Type="http://schemas.openxmlformats.org/officeDocument/2006/relationships/worksheet" Target="/xl/worksheets/sheet2.xml" Id="Re85e3451937d4b75" /><Relationship Type="http://schemas.openxmlformats.org/officeDocument/2006/relationships/worksheet" Target="/xl/worksheets/sheet3.xml" Id="Rbb8ad62e436c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85" hidden="0" customWidth="1"/>
  </x:cols>
  <x:sheetData>
    <x:row r="1">
      <x:c r="A1" s="2"/>
      <x:c r="B1" s="2"/>
      <x:c r="C1" s="2"/>
      <x:c r="D1" s="2"/>
    </x:row>
    <x:row r="2">
      <x:c r="A2" s="3" t="str">
        <x:v>M04 — Giá trị thu được và dự báo</x:v>
      </x:c>
      <x:c r="B2" s="2"/>
      <x:c r="C2" s="2"/>
      <x:c r="D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</x:row>
    <x:row r="5">
      <x:c r="A5" s="2"/>
      <x:c r="B5" s="2"/>
      <x:c r="C5" s="2"/>
      <x:c r="D5" s="2"/>
    </x:row>
    <x:row r="6">
      <x:c r="A6" s="2"/>
      <x:c r="B6" s="2"/>
      <x:c r="C6" s="2"/>
      <x:c r="D6" s="2"/>
    </x:row>
    <x:row r="7" ht="40" customHeight="1">
      <x:c r="A7" s="8" t="str">
        <x:v>Chỉ tiêu</x:v>
      </x:c>
      <x:c r="B7" s="8" t="str">
        <x:v>Giá trị</x:v>
      </x:c>
      <x:c r="C7" s="8" t="str">
        <x:v>Đơn vị</x:v>
      </x:c>
      <x:c r="D7" s="8" t="str">
        <x:v>Cách dùng / điều kiện</x:v>
      </x:c>
    </x:row>
    <x:row r="8" ht="45" customHeight="1">
      <x:c r="A8" s="9" t="str">
        <x:v>PV</x:v>
      </x:c>
      <x:c r="B8" s="13" t="str">
        <x:f>IF(COUNT('Variance'!B8:B39)=32,SUM('Variance'!B8:B39),"n.a.")</x:f>
        <x:v>n.a.</x:v>
      </x:c>
      <x:c r="C8" s="9" t="str">
        <x:v>VND</x:v>
      </x:c>
      <x:c r="D8" s="9" t="str">
        <x:v>Ngân sách của việc theo kế hoạch tại ngày chốt</x:v>
      </x:c>
    </x:row>
    <x:row r="9" ht="45" customHeight="1">
      <x:c r="A9" s="9" t="str">
        <x:v>EV</x:v>
      </x:c>
      <x:c r="B9" s="13" t="str">
        <x:f>IF(COUNT('Variance'!C8:C39)=32,SUM('Variance'!C8:C39),"n.a.")</x:f>
        <x:v>n.a.</x:v>
      </x:c>
      <x:c r="C9" s="9" t="str">
        <x:v>VND</x:v>
      </x:c>
      <x:c r="D9" s="9" t="str">
        <x:v>Ngân sách của khối lượng có chấp nhận cùng kỳ</x:v>
      </x:c>
    </x:row>
    <x:row r="10" ht="45" customHeight="1">
      <x:c r="A10" s="9" t="str">
        <x:v>AC</x:v>
      </x:c>
      <x:c r="B10" s="13" t="str">
        <x:f>IF(COUNT('Variance'!D8:D39)=32,SUM('Variance'!D8:D39),"n.a.")</x:f>
        <x:v>n.a.</x:v>
      </x:c>
      <x:c r="C10" s="9" t="str">
        <x:v>VND</x:v>
      </x:c>
      <x:c r="D10" s="9" t="str">
        <x:v>Chi phí thực cùng phạm vi, đơn vị và ngày chốt</x:v>
      </x:c>
    </x:row>
    <x:row r="11" ht="45" customHeight="1">
      <x:c r="A11" s="9" t="str">
        <x:v>SV</x:v>
      </x:c>
      <x:c r="B11" s="13" t="str">
        <x:f>IF(OR(B8="n.a.",B9="n.a."),"n.a.",B9-B8)</x:f>
        <x:v>n.a.</x:v>
      </x:c>
      <x:c r="C11" s="9" t="str">
        <x:v>VND</x:v>
      </x:c>
      <x:c r="D11" s="9" t="str">
        <x:v>EV − PV</x:v>
      </x:c>
    </x:row>
    <x:row r="12" ht="45" customHeight="1">
      <x:c r="A12" s="9" t="str">
        <x:v>CV</x:v>
      </x:c>
      <x:c r="B12" s="13" t="str">
        <x:f>IF(OR(B9="n.a.",B10="n.a."),"n.a.",B9-B10)</x:f>
        <x:v>n.a.</x:v>
      </x:c>
      <x:c r="C12" s="9" t="str">
        <x:v>VND</x:v>
      </x:c>
      <x:c r="D12" s="9" t="str">
        <x:v>EV − AC</x:v>
      </x:c>
    </x:row>
    <x:row r="13" ht="45" customHeight="1">
      <x:c r="A13" s="9" t="str">
        <x:v>SPI</x:v>
      </x:c>
      <x:c r="B13" s="13" t="str">
        <x:f>IF(OR(B8="n.a.",B9="n.a.",B8=0),"n.a.",B9/B8)</x:f>
        <x:v>n.a.</x:v>
      </x:c>
      <x:c r="C13" s="9" t="str">
        <x:v>Lần</x:v>
      </x:c>
      <x:c r="D13" s="9" t="str">
        <x:v>EV / PV; PV bằng 0 thì không khả dụng</x:v>
      </x:c>
    </x:row>
    <x:row r="14" ht="45" customHeight="1">
      <x:c r="A14" s="9" t="str">
        <x:v>CPI</x:v>
      </x:c>
      <x:c r="B14" s="13" t="str">
        <x:f>IF(OR(B9="n.a.",B10="n.a.",B10=0),"n.a.",B9/B10)</x:f>
        <x:v>n.a.</x:v>
      </x:c>
      <x:c r="C14" s="9" t="str">
        <x:v>Lần</x:v>
      </x:c>
      <x:c r="D14" s="9" t="str">
        <x:v>EV / AC; AC bằng 0 thì không khả dụng</x:v>
      </x:c>
    </x:row>
    <x:row r="15" ht="45" customHeight="1">
      <x:c r="A15" s="9" t="str">
        <x:v>BAC</x:v>
      </x:c>
      <x:c r="B15" s="13" t="str">
        <x:f>IF(AND(COUNT('Inputs'!C8:C39)=32,COUNTA('Inputs'!G8:G39)=32),SUM('Inputs'!C8:C39),"n.a.")</x:f>
        <x:v>n.a.</x:v>
      </x:c>
      <x:c r="C15" s="9" t="str">
        <x:v>VND</x:v>
      </x:c>
      <x:c r="D15" s="9" t="str">
        <x:v>Tổng baseline được duyệt; chưa lấy forecast thay thế</x:v>
      </x:c>
    </x:row>
    <x:row r="16" ht="45" customHeight="1">
      <x:c r="A16" s="9" t="str">
        <x:v>EAC</x:v>
      </x:c>
      <x:c r="B16" s="13" t="str">
        <x:f>IF(OR(B15="n.a.",B14="n.a.",B14=0),"n.a.",B15/B14)</x:f>
        <x:v>n.a.</x:v>
      </x:c>
      <x:c r="C16" s="9" t="str">
        <x:v>VND</x:v>
      </x:c>
      <x:c r="D16" s="9" t="str">
        <x:v>BAC / CPI, chỉ khi giả định hiệu suất còn lại giữ nguyên</x:v>
      </x:c>
    </x:row>
    <x:row r="17" ht="45" customHeight="1">
      <x:c r="A17" s="9" t="str">
        <x:v>VAC</x:v>
      </x:c>
      <x:c r="B17" s="13" t="str">
        <x:f>IF(OR(B15="n.a.",B16="n.a."),"n.a.",B15-B16)</x:f>
        <x:v>n.a.</x:v>
      </x:c>
      <x:c r="C17" s="9" t="str">
        <x:v>VND</x:v>
      </x:c>
      <x:c r="D17" s="9" t="str">
        <x:v>BAC − EAC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3" hidden="0" customWidth="1"/>
    <x:col min="4" max="4" width="23" hidden="0" customWidth="1"/>
    <x:col min="5" max="5" width="25" hidden="0" customWidth="1"/>
    <x:col min="6" max="6" width="25" hidden="0" customWidth="1"/>
    <x:col min="7" max="7" width="5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M04 — Sai lệch theo cùng phạm vi</x:v>
      </x:c>
      <x:c r="B2" s="2"/>
      <x:c r="C2" s="2"/>
      <x:c r="D2" s="2"/>
      <x:c r="E2" s="2"/>
      <x:c r="F2" s="2"/>
      <x:c r="G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8" t="str">
        <x:v>WBS</x:v>
      </x:c>
      <x:c r="B7" s="8" t="str">
        <x:v>PV (VND)</x:v>
      </x:c>
      <x:c r="C7" s="8" t="str">
        <x:v>EV (VND)</x:v>
      </x:c>
      <x:c r="D7" s="8" t="str">
        <x:v>AC (VND)</x:v>
      </x:c>
      <x:c r="E7" s="8" t="str">
        <x:v>SV = EV − PV</x:v>
      </x:c>
      <x:c r="F7" s="8" t="str">
        <x:v>CV = EV − AC</x:v>
      </x:c>
      <x:c r="G7" s="8" t="str">
        <x:v>Tình trạng</x:v>
      </x:c>
    </x:row>
    <x:row r="8" ht="55" customHeight="1">
      <x:c r="A8" s="9" t="str">
        <x:v>1.1</x:v>
      </x:c>
      <x:c r="B8" s="13" t="str">
        <x:f>IF(OR(NOT(ISNUMBER('Inputs'!C8)),NOT(ISNUMBER('Inputs'!D8)),'Inputs'!G8=""),"n.a.",'Inputs'!C8*'Inputs'!D8)</x:f>
        <x:v>n.a.</x:v>
      </x:c>
      <x:c r="C8" s="13" t="str">
        <x:f>IF(OR(NOT(ISNUMBER('Inputs'!C8)),NOT(ISNUMBER('Inputs'!E8)),'Inputs'!G8="",'Inputs'!H8=""),"n.a.",'Inputs'!C8*'Inputs'!E8)</x:f>
        <x:v>n.a.</x:v>
      </x:c>
      <x:c r="D8" s="13" t="str">
        <x:f>IF(OR(NOT(ISNUMBER('Inputs'!F8)),'Inputs'!I8=""),"n.a.",'Inputs'!F8)</x:f>
        <x:v>n.a.</x:v>
      </x:c>
      <x:c r="E8" s="13" t="str">
        <x:f>IF(OR(B8="n.a.",C8="n.a."),"n.a.",C8-B8)</x:f>
        <x:v>n.a.</x:v>
      </x:c>
      <x:c r="F8" s="13" t="str">
        <x:f>IF(OR(C8="n.a.",D8="n.a."),"n.a.",C8-D8)</x:f>
        <x:v>n.a.</x:v>
      </x:c>
      <x:c r="G8" s="13" t="str">
        <x:f>IF(OR(B8="n.a.",C8="n.a.",D8="n.a."),"Thiếu đầu vào có bằng chứng","Đủ số liệu để phân tích")</x:f>
        <x:v>Thiếu đầu vào có bằng chứng</x:v>
      </x:c>
    </x:row>
    <x:row r="9" ht="55" customHeight="1">
      <x:c r="A9" s="9" t="str">
        <x:v>1.2</x:v>
      </x:c>
      <x:c r="B9" s="13" t="str">
        <x:f>IF(OR(NOT(ISNUMBER('Inputs'!C9)),NOT(ISNUMBER('Inputs'!D9)),'Inputs'!G9=""),"n.a.",'Inputs'!C9*'Inputs'!D9)</x:f>
        <x:v>n.a.</x:v>
      </x:c>
      <x:c r="C9" s="13" t="str">
        <x:f>IF(OR(NOT(ISNUMBER('Inputs'!C9)),NOT(ISNUMBER('Inputs'!E9)),'Inputs'!G9="",'Inputs'!H9=""),"n.a.",'Inputs'!C9*'Inputs'!E9)</x:f>
        <x:v>n.a.</x:v>
      </x:c>
      <x:c r="D9" s="13" t="str">
        <x:f>IF(OR(NOT(ISNUMBER('Inputs'!F9)),'Inputs'!I9=""),"n.a.",'Inputs'!F9)</x:f>
        <x:v>n.a.</x:v>
      </x:c>
      <x:c r="E9" s="13" t="str">
        <x:f>IF(OR(B9="n.a.",C9="n.a."),"n.a.",C9-B9)</x:f>
        <x:v>n.a.</x:v>
      </x:c>
      <x:c r="F9" s="13" t="str">
        <x:f>IF(OR(C9="n.a.",D9="n.a."),"n.a.",C9-D9)</x:f>
        <x:v>n.a.</x:v>
      </x:c>
      <x:c r="G9" s="13" t="str">
        <x:f>IF(OR(B9="n.a.",C9="n.a.",D9="n.a."),"Thiếu đầu vào có bằng chứng","Đủ số liệu để phân tích")</x:f>
        <x:v>Thiếu đầu vào có bằng chứng</x:v>
      </x:c>
    </x:row>
    <x:row r="10" ht="55" customHeight="1">
      <x:c r="A10" s="9" t="str">
        <x:v>1.3</x:v>
      </x:c>
      <x:c r="B10" s="13" t="str">
        <x:f>IF(OR(NOT(ISNUMBER('Inputs'!C10)),NOT(ISNUMBER('Inputs'!D10)),'Inputs'!G10=""),"n.a.",'Inputs'!C10*'Inputs'!D10)</x:f>
        <x:v>n.a.</x:v>
      </x:c>
      <x:c r="C10" s="13" t="str">
        <x:f>IF(OR(NOT(ISNUMBER('Inputs'!C10)),NOT(ISNUMBER('Inputs'!E10)),'Inputs'!G10="",'Inputs'!H10=""),"n.a.",'Inputs'!C10*'Inputs'!E10)</x:f>
        <x:v>n.a.</x:v>
      </x:c>
      <x:c r="D10" s="13" t="str">
        <x:f>IF(OR(NOT(ISNUMBER('Inputs'!F10)),'Inputs'!I10=""),"n.a.",'Inputs'!F10)</x:f>
        <x:v>n.a.</x:v>
      </x:c>
      <x:c r="E10" s="13" t="str">
        <x:f>IF(OR(B10="n.a.",C10="n.a."),"n.a.",C10-B10)</x:f>
        <x:v>n.a.</x:v>
      </x:c>
      <x:c r="F10" s="13" t="str">
        <x:f>IF(OR(C10="n.a.",D10="n.a."),"n.a.",C10-D10)</x:f>
        <x:v>n.a.</x:v>
      </x:c>
      <x:c r="G10" s="13" t="str">
        <x:f>IF(OR(B10="n.a.",C10="n.a.",D10="n.a."),"Thiếu đầu vào có bằng chứng","Đủ số liệu để phân tích")</x:f>
        <x:v>Thiếu đầu vào có bằng chứng</x:v>
      </x:c>
    </x:row>
    <x:row r="11" ht="55" customHeight="1">
      <x:c r="A11" s="9" t="str">
        <x:v>2.1</x:v>
      </x:c>
      <x:c r="B11" s="13" t="str">
        <x:f>IF(OR(NOT(ISNUMBER('Inputs'!C11)),NOT(ISNUMBER('Inputs'!D11)),'Inputs'!G11=""),"n.a.",'Inputs'!C11*'Inputs'!D11)</x:f>
        <x:v>n.a.</x:v>
      </x:c>
      <x:c r="C11" s="13" t="str">
        <x:f>IF(OR(NOT(ISNUMBER('Inputs'!C11)),NOT(ISNUMBER('Inputs'!E11)),'Inputs'!G11="",'Inputs'!H11=""),"n.a.",'Inputs'!C11*'Inputs'!E11)</x:f>
        <x:v>n.a.</x:v>
      </x:c>
      <x:c r="D11" s="13" t="str">
        <x:f>IF(OR(NOT(ISNUMBER('Inputs'!F11)),'Inputs'!I11=""),"n.a.",'Inputs'!F11)</x:f>
        <x:v>n.a.</x:v>
      </x:c>
      <x:c r="E11" s="13" t="str">
        <x:f>IF(OR(B11="n.a.",C11="n.a."),"n.a.",C11-B11)</x:f>
        <x:v>n.a.</x:v>
      </x:c>
      <x:c r="F11" s="13" t="str">
        <x:f>IF(OR(C11="n.a.",D11="n.a."),"n.a.",C11-D11)</x:f>
        <x:v>n.a.</x:v>
      </x:c>
      <x:c r="G11" s="13" t="str">
        <x:f>IF(OR(B11="n.a.",C11="n.a.",D11="n.a."),"Thiếu đầu vào có bằng chứng","Đủ số liệu để phân tích")</x:f>
        <x:v>Thiếu đầu vào có bằng chứng</x:v>
      </x:c>
    </x:row>
    <x:row r="12" ht="55" customHeight="1">
      <x:c r="A12" s="9" t="str">
        <x:v>2.2</x:v>
      </x:c>
      <x:c r="B12" s="13" t="str">
        <x:f>IF(OR(NOT(ISNUMBER('Inputs'!C12)),NOT(ISNUMBER('Inputs'!D12)),'Inputs'!G12=""),"n.a.",'Inputs'!C12*'Inputs'!D12)</x:f>
        <x:v>n.a.</x:v>
      </x:c>
      <x:c r="C12" s="13" t="str">
        <x:f>IF(OR(NOT(ISNUMBER('Inputs'!C12)),NOT(ISNUMBER('Inputs'!E12)),'Inputs'!G12="",'Inputs'!H12=""),"n.a.",'Inputs'!C12*'Inputs'!E12)</x:f>
        <x:v>n.a.</x:v>
      </x:c>
      <x:c r="D12" s="13" t="str">
        <x:f>IF(OR(NOT(ISNUMBER('Inputs'!F12)),'Inputs'!I12=""),"n.a.",'Inputs'!F12)</x:f>
        <x:v>n.a.</x:v>
      </x:c>
      <x:c r="E12" s="13" t="str">
        <x:f>IF(OR(B12="n.a.",C12="n.a."),"n.a.",C12-B12)</x:f>
        <x:v>n.a.</x:v>
      </x:c>
      <x:c r="F12" s="13" t="str">
        <x:f>IF(OR(C12="n.a.",D12="n.a."),"n.a.",C12-D12)</x:f>
        <x:v>n.a.</x:v>
      </x:c>
      <x:c r="G12" s="13" t="str">
        <x:f>IF(OR(B12="n.a.",C12="n.a.",D12="n.a."),"Thiếu đầu vào có bằng chứng","Đủ số liệu để phân tích")</x:f>
        <x:v>Thiếu đầu vào có bằng chứng</x:v>
      </x:c>
    </x:row>
    <x:row r="13" ht="55" customHeight="1">
      <x:c r="A13" s="9" t="str">
        <x:v>3.1</x:v>
      </x:c>
      <x:c r="B13" s="13" t="str">
        <x:f>IF(OR(NOT(ISNUMBER('Inputs'!C13)),NOT(ISNUMBER('Inputs'!D13)),'Inputs'!G13=""),"n.a.",'Inputs'!C13*'Inputs'!D13)</x:f>
        <x:v>n.a.</x:v>
      </x:c>
      <x:c r="C13" s="13" t="str">
        <x:f>IF(OR(NOT(ISNUMBER('Inputs'!C13)),NOT(ISNUMBER('Inputs'!E13)),'Inputs'!G13="",'Inputs'!H13=""),"n.a.",'Inputs'!C13*'Inputs'!E13)</x:f>
        <x:v>n.a.</x:v>
      </x:c>
      <x:c r="D13" s="13" t="str">
        <x:f>IF(OR(NOT(ISNUMBER('Inputs'!F13)),'Inputs'!I13=""),"n.a.",'Inputs'!F13)</x:f>
        <x:v>n.a.</x:v>
      </x:c>
      <x:c r="E13" s="13" t="str">
        <x:f>IF(OR(B13="n.a.",C13="n.a."),"n.a.",C13-B13)</x:f>
        <x:v>n.a.</x:v>
      </x:c>
      <x:c r="F13" s="13" t="str">
        <x:f>IF(OR(C13="n.a.",D13="n.a."),"n.a.",C13-D13)</x:f>
        <x:v>n.a.</x:v>
      </x:c>
      <x:c r="G13" s="13" t="str">
        <x:f>IF(OR(B13="n.a.",C13="n.a.",D13="n.a."),"Thiếu đầu vào có bằng chứng","Đủ số liệu để phân tích")</x:f>
        <x:v>Thiếu đầu vào có bằng chứng</x:v>
      </x:c>
    </x:row>
    <x:row r="14" ht="55" customHeight="1">
      <x:c r="A14" s="9" t="str">
        <x:v>3.2</x:v>
      </x:c>
      <x:c r="B14" s="13" t="str">
        <x:f>IF(OR(NOT(ISNUMBER('Inputs'!C14)),NOT(ISNUMBER('Inputs'!D14)),'Inputs'!G14=""),"n.a.",'Inputs'!C14*'Inputs'!D14)</x:f>
        <x:v>n.a.</x:v>
      </x:c>
      <x:c r="C14" s="13" t="str">
        <x:f>IF(OR(NOT(ISNUMBER('Inputs'!C14)),NOT(ISNUMBER('Inputs'!E14)),'Inputs'!G14="",'Inputs'!H14=""),"n.a.",'Inputs'!C14*'Inputs'!E14)</x:f>
        <x:v>n.a.</x:v>
      </x:c>
      <x:c r="D14" s="13" t="str">
        <x:f>IF(OR(NOT(ISNUMBER('Inputs'!F14)),'Inputs'!I14=""),"n.a.",'Inputs'!F14)</x:f>
        <x:v>n.a.</x:v>
      </x:c>
      <x:c r="E14" s="13" t="str">
        <x:f>IF(OR(B14="n.a.",C14="n.a."),"n.a.",C14-B14)</x:f>
        <x:v>n.a.</x:v>
      </x:c>
      <x:c r="F14" s="13" t="str">
        <x:f>IF(OR(C14="n.a.",D14="n.a."),"n.a.",C14-D14)</x:f>
        <x:v>n.a.</x:v>
      </x:c>
      <x:c r="G14" s="13" t="str">
        <x:f>IF(OR(B14="n.a.",C14="n.a.",D14="n.a."),"Thiếu đầu vào có bằng chứng","Đủ số liệu để phân tích")</x:f>
        <x:v>Thiếu đầu vào có bằng chứng</x:v>
      </x:c>
    </x:row>
    <x:row r="15" ht="55" customHeight="1">
      <x:c r="A15" s="9" t="str">
        <x:v>4.1</x:v>
      </x:c>
      <x:c r="B15" s="13" t="str">
        <x:f>IF(OR(NOT(ISNUMBER('Inputs'!C15)),NOT(ISNUMBER('Inputs'!D15)),'Inputs'!G15=""),"n.a.",'Inputs'!C15*'Inputs'!D15)</x:f>
        <x:v>n.a.</x:v>
      </x:c>
      <x:c r="C15" s="13" t="str">
        <x:f>IF(OR(NOT(ISNUMBER('Inputs'!C15)),NOT(ISNUMBER('Inputs'!E15)),'Inputs'!G15="",'Inputs'!H15=""),"n.a.",'Inputs'!C15*'Inputs'!E15)</x:f>
        <x:v>n.a.</x:v>
      </x:c>
      <x:c r="D15" s="13" t="str">
        <x:f>IF(OR(NOT(ISNUMBER('Inputs'!F15)),'Inputs'!I15=""),"n.a.",'Inputs'!F15)</x:f>
        <x:v>n.a.</x:v>
      </x:c>
      <x:c r="E15" s="13" t="str">
        <x:f>IF(OR(B15="n.a.",C15="n.a."),"n.a.",C15-B15)</x:f>
        <x:v>n.a.</x:v>
      </x:c>
      <x:c r="F15" s="13" t="str">
        <x:f>IF(OR(C15="n.a.",D15="n.a."),"n.a.",C15-D15)</x:f>
        <x:v>n.a.</x:v>
      </x:c>
      <x:c r="G15" s="13" t="str">
        <x:f>IF(OR(B15="n.a.",C15="n.a.",D15="n.a."),"Thiếu đầu vào có bằng chứng","Đủ số liệu để phân tích")</x:f>
        <x:v>Thiếu đầu vào có bằng chứng</x:v>
      </x:c>
    </x:row>
    <x:row r="16" ht="55" customHeight="1">
      <x:c r="A16" s="9" t="str">
        <x:v>4.2.1</x:v>
      </x:c>
      <x:c r="B16" s="13" t="str">
        <x:f>IF(OR(NOT(ISNUMBER('Inputs'!C16)),NOT(ISNUMBER('Inputs'!D16)),'Inputs'!G16=""),"n.a.",'Inputs'!C16*'Inputs'!D16)</x:f>
        <x:v>n.a.</x:v>
      </x:c>
      <x:c r="C16" s="13" t="str">
        <x:f>IF(OR(NOT(ISNUMBER('Inputs'!C16)),NOT(ISNUMBER('Inputs'!E16)),'Inputs'!G16="",'Inputs'!H16=""),"n.a.",'Inputs'!C16*'Inputs'!E16)</x:f>
        <x:v>n.a.</x:v>
      </x:c>
      <x:c r="D16" s="13" t="str">
        <x:f>IF(OR(NOT(ISNUMBER('Inputs'!F16)),'Inputs'!I16=""),"n.a.",'Inputs'!F16)</x:f>
        <x:v>n.a.</x:v>
      </x:c>
      <x:c r="E16" s="13" t="str">
        <x:f>IF(OR(B16="n.a.",C16="n.a."),"n.a.",C16-B16)</x:f>
        <x:v>n.a.</x:v>
      </x:c>
      <x:c r="F16" s="13" t="str">
        <x:f>IF(OR(C16="n.a.",D16="n.a."),"n.a.",C16-D16)</x:f>
        <x:v>n.a.</x:v>
      </x:c>
      <x:c r="G16" s="13" t="str">
        <x:f>IF(OR(B16="n.a.",C16="n.a.",D16="n.a."),"Thiếu đầu vào có bằng chứng","Đủ số liệu để phân tích")</x:f>
        <x:v>Thiếu đầu vào có bằng chứng</x:v>
      </x:c>
    </x:row>
    <x:row r="17" ht="55" customHeight="1">
      <x:c r="A17" s="9" t="str">
        <x:v>4.2.2</x:v>
      </x:c>
      <x:c r="B17" s="13" t="str">
        <x:f>IF(OR(NOT(ISNUMBER('Inputs'!C17)),NOT(ISNUMBER('Inputs'!D17)),'Inputs'!G17=""),"n.a.",'Inputs'!C17*'Inputs'!D17)</x:f>
        <x:v>n.a.</x:v>
      </x:c>
      <x:c r="C17" s="13" t="str">
        <x:f>IF(OR(NOT(ISNUMBER('Inputs'!C17)),NOT(ISNUMBER('Inputs'!E17)),'Inputs'!G17="",'Inputs'!H17=""),"n.a.",'Inputs'!C17*'Inputs'!E17)</x:f>
        <x:v>n.a.</x:v>
      </x:c>
      <x:c r="D17" s="13" t="str">
        <x:f>IF(OR(NOT(ISNUMBER('Inputs'!F17)),'Inputs'!I17=""),"n.a.",'Inputs'!F17)</x:f>
        <x:v>n.a.</x:v>
      </x:c>
      <x:c r="E17" s="13" t="str">
        <x:f>IF(OR(B17="n.a.",C17="n.a."),"n.a.",C17-B17)</x:f>
        <x:v>n.a.</x:v>
      </x:c>
      <x:c r="F17" s="13" t="str">
        <x:f>IF(OR(C17="n.a.",D17="n.a."),"n.a.",C17-D17)</x:f>
        <x:v>n.a.</x:v>
      </x:c>
      <x:c r="G17" s="13" t="str">
        <x:f>IF(OR(B17="n.a.",C17="n.a.",D17="n.a."),"Thiếu đầu vào có bằng chứng","Đủ số liệu để phân tích")</x:f>
        <x:v>Thiếu đầu vào có bằng chứng</x:v>
      </x:c>
    </x:row>
    <x:row r="18" ht="55" customHeight="1">
      <x:c r="A18" s="9" t="str">
        <x:v>4.2.3</x:v>
      </x:c>
      <x:c r="B18" s="13" t="str">
        <x:f>IF(OR(NOT(ISNUMBER('Inputs'!C18)),NOT(ISNUMBER('Inputs'!D18)),'Inputs'!G18=""),"n.a.",'Inputs'!C18*'Inputs'!D18)</x:f>
        <x:v>n.a.</x:v>
      </x:c>
      <x:c r="C18" s="13" t="str">
        <x:f>IF(OR(NOT(ISNUMBER('Inputs'!C18)),NOT(ISNUMBER('Inputs'!E18)),'Inputs'!G18="",'Inputs'!H18=""),"n.a.",'Inputs'!C18*'Inputs'!E18)</x:f>
        <x:v>n.a.</x:v>
      </x:c>
      <x:c r="D18" s="13" t="str">
        <x:f>IF(OR(NOT(ISNUMBER('Inputs'!F18)),'Inputs'!I18=""),"n.a.",'Inputs'!F18)</x:f>
        <x:v>n.a.</x:v>
      </x:c>
      <x:c r="E18" s="13" t="str">
        <x:f>IF(OR(B18="n.a.",C18="n.a."),"n.a.",C18-B18)</x:f>
        <x:v>n.a.</x:v>
      </x:c>
      <x:c r="F18" s="13" t="str">
        <x:f>IF(OR(C18="n.a.",D18="n.a."),"n.a.",C18-D18)</x:f>
        <x:v>n.a.</x:v>
      </x:c>
      <x:c r="G18" s="13" t="str">
        <x:f>IF(OR(B18="n.a.",C18="n.a.",D18="n.a."),"Thiếu đầu vào có bằng chứng","Đủ số liệu để phân tích")</x:f>
        <x:v>Thiếu đầu vào có bằng chứng</x:v>
      </x:c>
    </x:row>
    <x:row r="19" ht="55" customHeight="1">
      <x:c r="A19" s="9" t="str">
        <x:v>4.2.4</x:v>
      </x:c>
      <x:c r="B19" s="13" t="str">
        <x:f>IF(OR(NOT(ISNUMBER('Inputs'!C19)),NOT(ISNUMBER('Inputs'!D19)),'Inputs'!G19=""),"n.a.",'Inputs'!C19*'Inputs'!D19)</x:f>
        <x:v>n.a.</x:v>
      </x:c>
      <x:c r="C19" s="13" t="str">
        <x:f>IF(OR(NOT(ISNUMBER('Inputs'!C19)),NOT(ISNUMBER('Inputs'!E19)),'Inputs'!G19="",'Inputs'!H19=""),"n.a.",'Inputs'!C19*'Inputs'!E19)</x:f>
        <x:v>n.a.</x:v>
      </x:c>
      <x:c r="D19" s="13" t="str">
        <x:f>IF(OR(NOT(ISNUMBER('Inputs'!F19)),'Inputs'!I19=""),"n.a.",'Inputs'!F19)</x:f>
        <x:v>n.a.</x:v>
      </x:c>
      <x:c r="E19" s="13" t="str">
        <x:f>IF(OR(B19="n.a.",C19="n.a."),"n.a.",C19-B19)</x:f>
        <x:v>n.a.</x:v>
      </x:c>
      <x:c r="F19" s="13" t="str">
        <x:f>IF(OR(C19="n.a.",D19="n.a."),"n.a.",C19-D19)</x:f>
        <x:v>n.a.</x:v>
      </x:c>
      <x:c r="G19" s="13" t="str">
        <x:f>IF(OR(B19="n.a.",C19="n.a.",D19="n.a."),"Thiếu đầu vào có bằng chứng","Đủ số liệu để phân tích")</x:f>
        <x:v>Thiếu đầu vào có bằng chứng</x:v>
      </x:c>
    </x:row>
    <x:row r="20" ht="55" customHeight="1">
      <x:c r="A20" s="9" t="str">
        <x:v>4.2.5</x:v>
      </x:c>
      <x:c r="B20" s="13" t="str">
        <x:f>IF(OR(NOT(ISNUMBER('Inputs'!C20)),NOT(ISNUMBER('Inputs'!D20)),'Inputs'!G20=""),"n.a.",'Inputs'!C20*'Inputs'!D20)</x:f>
        <x:v>n.a.</x:v>
      </x:c>
      <x:c r="C20" s="13" t="str">
        <x:f>IF(OR(NOT(ISNUMBER('Inputs'!C20)),NOT(ISNUMBER('Inputs'!E20)),'Inputs'!G20="",'Inputs'!H20=""),"n.a.",'Inputs'!C20*'Inputs'!E20)</x:f>
        <x:v>n.a.</x:v>
      </x:c>
      <x:c r="D20" s="13" t="str">
        <x:f>IF(OR(NOT(ISNUMBER('Inputs'!F20)),'Inputs'!I20=""),"n.a.",'Inputs'!F20)</x:f>
        <x:v>n.a.</x:v>
      </x:c>
      <x:c r="E20" s="13" t="str">
        <x:f>IF(OR(B20="n.a.",C20="n.a."),"n.a.",C20-B20)</x:f>
        <x:v>n.a.</x:v>
      </x:c>
      <x:c r="F20" s="13" t="str">
        <x:f>IF(OR(C20="n.a.",D20="n.a."),"n.a.",C20-D20)</x:f>
        <x:v>n.a.</x:v>
      </x:c>
      <x:c r="G20" s="13" t="str">
        <x:f>IF(OR(B20="n.a.",C20="n.a.",D20="n.a."),"Thiếu đầu vào có bằng chứng","Đủ số liệu để phân tích")</x:f>
        <x:v>Thiếu đầu vào có bằng chứng</x:v>
      </x:c>
    </x:row>
    <x:row r="21" ht="55" customHeight="1">
      <x:c r="A21" s="9" t="str">
        <x:v>4.2.6</x:v>
      </x:c>
      <x:c r="B21" s="13" t="str">
        <x:f>IF(OR(NOT(ISNUMBER('Inputs'!C21)),NOT(ISNUMBER('Inputs'!D21)),'Inputs'!G21=""),"n.a.",'Inputs'!C21*'Inputs'!D21)</x:f>
        <x:v>n.a.</x:v>
      </x:c>
      <x:c r="C21" s="13" t="str">
        <x:f>IF(OR(NOT(ISNUMBER('Inputs'!C21)),NOT(ISNUMBER('Inputs'!E21)),'Inputs'!G21="",'Inputs'!H21=""),"n.a.",'Inputs'!C21*'Inputs'!E21)</x:f>
        <x:v>n.a.</x:v>
      </x:c>
      <x:c r="D21" s="13" t="str">
        <x:f>IF(OR(NOT(ISNUMBER('Inputs'!F21)),'Inputs'!I21=""),"n.a.",'Inputs'!F21)</x:f>
        <x:v>n.a.</x:v>
      </x:c>
      <x:c r="E21" s="13" t="str">
        <x:f>IF(OR(B21="n.a.",C21="n.a."),"n.a.",C21-B21)</x:f>
        <x:v>n.a.</x:v>
      </x:c>
      <x:c r="F21" s="13" t="str">
        <x:f>IF(OR(C21="n.a.",D21="n.a."),"n.a.",C21-D21)</x:f>
        <x:v>n.a.</x:v>
      </x:c>
      <x:c r="G21" s="13" t="str">
        <x:f>IF(OR(B21="n.a.",C21="n.a.",D21="n.a."),"Thiếu đầu vào có bằng chứng","Đủ số liệu để phân tích")</x:f>
        <x:v>Thiếu đầu vào có bằng chứng</x:v>
      </x:c>
    </x:row>
    <x:row r="22" ht="55" customHeight="1">
      <x:c r="A22" s="9" t="str">
        <x:v>4.2.7</x:v>
      </x:c>
      <x:c r="B22" s="13" t="str">
        <x:f>IF(OR(NOT(ISNUMBER('Inputs'!C22)),NOT(ISNUMBER('Inputs'!D22)),'Inputs'!G22=""),"n.a.",'Inputs'!C22*'Inputs'!D22)</x:f>
        <x:v>n.a.</x:v>
      </x:c>
      <x:c r="C22" s="13" t="str">
        <x:f>IF(OR(NOT(ISNUMBER('Inputs'!C22)),NOT(ISNUMBER('Inputs'!E22)),'Inputs'!G22="",'Inputs'!H22=""),"n.a.",'Inputs'!C22*'Inputs'!E22)</x:f>
        <x:v>n.a.</x:v>
      </x:c>
      <x:c r="D22" s="13" t="str">
        <x:f>IF(OR(NOT(ISNUMBER('Inputs'!F22)),'Inputs'!I22=""),"n.a.",'Inputs'!F22)</x:f>
        <x:v>n.a.</x:v>
      </x:c>
      <x:c r="E22" s="13" t="str">
        <x:f>IF(OR(B22="n.a.",C22="n.a."),"n.a.",C22-B22)</x:f>
        <x:v>n.a.</x:v>
      </x:c>
      <x:c r="F22" s="13" t="str">
        <x:f>IF(OR(C22="n.a.",D22="n.a."),"n.a.",C22-D22)</x:f>
        <x:v>n.a.</x:v>
      </x:c>
      <x:c r="G22" s="13" t="str">
        <x:f>IF(OR(B22="n.a.",C22="n.a.",D22="n.a."),"Thiếu đầu vào có bằng chứng","Đủ số liệu để phân tích")</x:f>
        <x:v>Thiếu đầu vào có bằng chứng</x:v>
      </x:c>
    </x:row>
    <x:row r="23" ht="55" customHeight="1">
      <x:c r="A23" s="9" t="str">
        <x:v>4.3.1</x:v>
      </x:c>
      <x:c r="B23" s="13" t="str">
        <x:f>IF(OR(NOT(ISNUMBER('Inputs'!C23)),NOT(ISNUMBER('Inputs'!D23)),'Inputs'!G23=""),"n.a.",'Inputs'!C23*'Inputs'!D23)</x:f>
        <x:v>n.a.</x:v>
      </x:c>
      <x:c r="C23" s="13" t="str">
        <x:f>IF(OR(NOT(ISNUMBER('Inputs'!C23)),NOT(ISNUMBER('Inputs'!E23)),'Inputs'!G23="",'Inputs'!H23=""),"n.a.",'Inputs'!C23*'Inputs'!E23)</x:f>
        <x:v>n.a.</x:v>
      </x:c>
      <x:c r="D23" s="13" t="str">
        <x:f>IF(OR(NOT(ISNUMBER('Inputs'!F23)),'Inputs'!I23=""),"n.a.",'Inputs'!F23)</x:f>
        <x:v>n.a.</x:v>
      </x:c>
      <x:c r="E23" s="13" t="str">
        <x:f>IF(OR(B23="n.a.",C23="n.a."),"n.a.",C23-B23)</x:f>
        <x:v>n.a.</x:v>
      </x:c>
      <x:c r="F23" s="13" t="str">
        <x:f>IF(OR(C23="n.a.",D23="n.a."),"n.a.",C23-D23)</x:f>
        <x:v>n.a.</x:v>
      </x:c>
      <x:c r="G23" s="13" t="str">
        <x:f>IF(OR(B23="n.a.",C23="n.a.",D23="n.a."),"Thiếu đầu vào có bằng chứng","Đủ số liệu để phân tích")</x:f>
        <x:v>Thiếu đầu vào có bằng chứng</x:v>
      </x:c>
    </x:row>
    <x:row r="24" ht="55" customHeight="1">
      <x:c r="A24" s="9" t="str">
        <x:v>4.3.2</x:v>
      </x:c>
      <x:c r="B24" s="13" t="str">
        <x:f>IF(OR(NOT(ISNUMBER('Inputs'!C24)),NOT(ISNUMBER('Inputs'!D24)),'Inputs'!G24=""),"n.a.",'Inputs'!C24*'Inputs'!D24)</x:f>
        <x:v>n.a.</x:v>
      </x:c>
      <x:c r="C24" s="13" t="str">
        <x:f>IF(OR(NOT(ISNUMBER('Inputs'!C24)),NOT(ISNUMBER('Inputs'!E24)),'Inputs'!G24="",'Inputs'!H24=""),"n.a.",'Inputs'!C24*'Inputs'!E24)</x:f>
        <x:v>n.a.</x:v>
      </x:c>
      <x:c r="D24" s="13" t="str">
        <x:f>IF(OR(NOT(ISNUMBER('Inputs'!F24)),'Inputs'!I24=""),"n.a.",'Inputs'!F24)</x:f>
        <x:v>n.a.</x:v>
      </x:c>
      <x:c r="E24" s="13" t="str">
        <x:f>IF(OR(B24="n.a.",C24="n.a."),"n.a.",C24-B24)</x:f>
        <x:v>n.a.</x:v>
      </x:c>
      <x:c r="F24" s="13" t="str">
        <x:f>IF(OR(C24="n.a.",D24="n.a."),"n.a.",C24-D24)</x:f>
        <x:v>n.a.</x:v>
      </x:c>
      <x:c r="G24" s="13" t="str">
        <x:f>IF(OR(B24="n.a.",C24="n.a.",D24="n.a."),"Thiếu đầu vào có bằng chứng","Đủ số liệu để phân tích")</x:f>
        <x:v>Thiếu đầu vào có bằng chứng</x:v>
      </x:c>
    </x:row>
    <x:row r="25" ht="55" customHeight="1">
      <x:c r="A25" s="9" t="str">
        <x:v>4.3.3</x:v>
      </x:c>
      <x:c r="B25" s="13" t="str">
        <x:f>IF(OR(NOT(ISNUMBER('Inputs'!C25)),NOT(ISNUMBER('Inputs'!D25)),'Inputs'!G25=""),"n.a.",'Inputs'!C25*'Inputs'!D25)</x:f>
        <x:v>n.a.</x:v>
      </x:c>
      <x:c r="C25" s="13" t="str">
        <x:f>IF(OR(NOT(ISNUMBER('Inputs'!C25)),NOT(ISNUMBER('Inputs'!E25)),'Inputs'!G25="",'Inputs'!H25=""),"n.a.",'Inputs'!C25*'Inputs'!E25)</x:f>
        <x:v>n.a.</x:v>
      </x:c>
      <x:c r="D25" s="13" t="str">
        <x:f>IF(OR(NOT(ISNUMBER('Inputs'!F25)),'Inputs'!I25=""),"n.a.",'Inputs'!F25)</x:f>
        <x:v>n.a.</x:v>
      </x:c>
      <x:c r="E25" s="13" t="str">
        <x:f>IF(OR(B25="n.a.",C25="n.a."),"n.a.",C25-B25)</x:f>
        <x:v>n.a.</x:v>
      </x:c>
      <x:c r="F25" s="13" t="str">
        <x:f>IF(OR(C25="n.a.",D25="n.a."),"n.a.",C25-D25)</x:f>
        <x:v>n.a.</x:v>
      </x:c>
      <x:c r="G25" s="13" t="str">
        <x:f>IF(OR(B25="n.a.",C25="n.a.",D25="n.a."),"Thiếu đầu vào có bằng chứng","Đủ số liệu để phân tích")</x:f>
        <x:v>Thiếu đầu vào có bằng chứng</x:v>
      </x:c>
    </x:row>
    <x:row r="26" ht="55" customHeight="1">
      <x:c r="A26" s="9" t="str">
        <x:v>4.3.4</x:v>
      </x:c>
      <x:c r="B26" s="13" t="str">
        <x:f>IF(OR(NOT(ISNUMBER('Inputs'!C26)),NOT(ISNUMBER('Inputs'!D26)),'Inputs'!G26=""),"n.a.",'Inputs'!C26*'Inputs'!D26)</x:f>
        <x:v>n.a.</x:v>
      </x:c>
      <x:c r="C26" s="13" t="str">
        <x:f>IF(OR(NOT(ISNUMBER('Inputs'!C26)),NOT(ISNUMBER('Inputs'!E26)),'Inputs'!G26="",'Inputs'!H26=""),"n.a.",'Inputs'!C26*'Inputs'!E26)</x:f>
        <x:v>n.a.</x:v>
      </x:c>
      <x:c r="D26" s="13" t="str">
        <x:f>IF(OR(NOT(ISNUMBER('Inputs'!F26)),'Inputs'!I26=""),"n.a.",'Inputs'!F26)</x:f>
        <x:v>n.a.</x:v>
      </x:c>
      <x:c r="E26" s="13" t="str">
        <x:f>IF(OR(B26="n.a.",C26="n.a."),"n.a.",C26-B26)</x:f>
        <x:v>n.a.</x:v>
      </x:c>
      <x:c r="F26" s="13" t="str">
        <x:f>IF(OR(C26="n.a.",D26="n.a."),"n.a.",C26-D26)</x:f>
        <x:v>n.a.</x:v>
      </x:c>
      <x:c r="G26" s="13" t="str">
        <x:f>IF(OR(B26="n.a.",C26="n.a.",D26="n.a."),"Thiếu đầu vào có bằng chứng","Đủ số liệu để phân tích")</x:f>
        <x:v>Thiếu đầu vào có bằng chứng</x:v>
      </x:c>
    </x:row>
    <x:row r="27" ht="55" customHeight="1">
      <x:c r="A27" s="9" t="str">
        <x:v>4.3.5</x:v>
      </x:c>
      <x:c r="B27" s="13" t="str">
        <x:f>IF(OR(NOT(ISNUMBER('Inputs'!C27)),NOT(ISNUMBER('Inputs'!D27)),'Inputs'!G27=""),"n.a.",'Inputs'!C27*'Inputs'!D27)</x:f>
        <x:v>n.a.</x:v>
      </x:c>
      <x:c r="C27" s="13" t="str">
        <x:f>IF(OR(NOT(ISNUMBER('Inputs'!C27)),NOT(ISNUMBER('Inputs'!E27)),'Inputs'!G27="",'Inputs'!H27=""),"n.a.",'Inputs'!C27*'Inputs'!E27)</x:f>
        <x:v>n.a.</x:v>
      </x:c>
      <x:c r="D27" s="13" t="str">
        <x:f>IF(OR(NOT(ISNUMBER('Inputs'!F27)),'Inputs'!I27=""),"n.a.",'Inputs'!F27)</x:f>
        <x:v>n.a.</x:v>
      </x:c>
      <x:c r="E27" s="13" t="str">
        <x:f>IF(OR(B27="n.a.",C27="n.a."),"n.a.",C27-B27)</x:f>
        <x:v>n.a.</x:v>
      </x:c>
      <x:c r="F27" s="13" t="str">
        <x:f>IF(OR(C27="n.a.",D27="n.a."),"n.a.",C27-D27)</x:f>
        <x:v>n.a.</x:v>
      </x:c>
      <x:c r="G27" s="13" t="str">
        <x:f>IF(OR(B27="n.a.",C27="n.a.",D27="n.a."),"Thiếu đầu vào có bằng chứng","Đủ số liệu để phân tích")</x:f>
        <x:v>Thiếu đầu vào có bằng chứng</x:v>
      </x:c>
    </x:row>
    <x:row r="28" ht="55" customHeight="1">
      <x:c r="A28" s="9" t="str">
        <x:v>4.3.6</x:v>
      </x:c>
      <x:c r="B28" s="13" t="str">
        <x:f>IF(OR(NOT(ISNUMBER('Inputs'!C28)),NOT(ISNUMBER('Inputs'!D28)),'Inputs'!G28=""),"n.a.",'Inputs'!C28*'Inputs'!D28)</x:f>
        <x:v>n.a.</x:v>
      </x:c>
      <x:c r="C28" s="13" t="str">
        <x:f>IF(OR(NOT(ISNUMBER('Inputs'!C28)),NOT(ISNUMBER('Inputs'!E28)),'Inputs'!G28="",'Inputs'!H28=""),"n.a.",'Inputs'!C28*'Inputs'!E28)</x:f>
        <x:v>n.a.</x:v>
      </x:c>
      <x:c r="D28" s="13" t="str">
        <x:f>IF(OR(NOT(ISNUMBER('Inputs'!F28)),'Inputs'!I28=""),"n.a.",'Inputs'!F28)</x:f>
        <x:v>n.a.</x:v>
      </x:c>
      <x:c r="E28" s="13" t="str">
        <x:f>IF(OR(B28="n.a.",C28="n.a."),"n.a.",C28-B28)</x:f>
        <x:v>n.a.</x:v>
      </x:c>
      <x:c r="F28" s="13" t="str">
        <x:f>IF(OR(C28="n.a.",D28="n.a."),"n.a.",C28-D28)</x:f>
        <x:v>n.a.</x:v>
      </x:c>
      <x:c r="G28" s="13" t="str">
        <x:f>IF(OR(B28="n.a.",C28="n.a.",D28="n.a."),"Thiếu đầu vào có bằng chứng","Đủ số liệu để phân tích")</x:f>
        <x:v>Thiếu đầu vào có bằng chứng</x:v>
      </x:c>
    </x:row>
    <x:row r="29" ht="55" customHeight="1">
      <x:c r="A29" s="9" t="str">
        <x:v>4.4.1</x:v>
      </x:c>
      <x:c r="B29" s="13" t="str">
        <x:f>IF(OR(NOT(ISNUMBER('Inputs'!C29)),NOT(ISNUMBER('Inputs'!D29)),'Inputs'!G29=""),"n.a.",'Inputs'!C29*'Inputs'!D29)</x:f>
        <x:v>n.a.</x:v>
      </x:c>
      <x:c r="C29" s="13" t="str">
        <x:f>IF(OR(NOT(ISNUMBER('Inputs'!C29)),NOT(ISNUMBER('Inputs'!E29)),'Inputs'!G29="",'Inputs'!H29=""),"n.a.",'Inputs'!C29*'Inputs'!E29)</x:f>
        <x:v>n.a.</x:v>
      </x:c>
      <x:c r="D29" s="13" t="str">
        <x:f>IF(OR(NOT(ISNUMBER('Inputs'!F29)),'Inputs'!I29=""),"n.a.",'Inputs'!F29)</x:f>
        <x:v>n.a.</x:v>
      </x:c>
      <x:c r="E29" s="13" t="str">
        <x:f>IF(OR(B29="n.a.",C29="n.a."),"n.a.",C29-B29)</x:f>
        <x:v>n.a.</x:v>
      </x:c>
      <x:c r="F29" s="13" t="str">
        <x:f>IF(OR(C29="n.a.",D29="n.a."),"n.a.",C29-D29)</x:f>
        <x:v>n.a.</x:v>
      </x:c>
      <x:c r="G29" s="13" t="str">
        <x:f>IF(OR(B29="n.a.",C29="n.a.",D29="n.a."),"Thiếu đầu vào có bằng chứng","Đủ số liệu để phân tích")</x:f>
        <x:v>Thiếu đầu vào có bằng chứng</x:v>
      </x:c>
    </x:row>
    <x:row r="30" ht="55" customHeight="1">
      <x:c r="A30" s="9" t="str">
        <x:v>4.4.2</x:v>
      </x:c>
      <x:c r="B30" s="13" t="str">
        <x:f>IF(OR(NOT(ISNUMBER('Inputs'!C30)),NOT(ISNUMBER('Inputs'!D30)),'Inputs'!G30=""),"n.a.",'Inputs'!C30*'Inputs'!D30)</x:f>
        <x:v>n.a.</x:v>
      </x:c>
      <x:c r="C30" s="13" t="str">
        <x:f>IF(OR(NOT(ISNUMBER('Inputs'!C30)),NOT(ISNUMBER('Inputs'!E30)),'Inputs'!G30="",'Inputs'!H30=""),"n.a.",'Inputs'!C30*'Inputs'!E30)</x:f>
        <x:v>n.a.</x:v>
      </x:c>
      <x:c r="D30" s="13" t="str">
        <x:f>IF(OR(NOT(ISNUMBER('Inputs'!F30)),'Inputs'!I30=""),"n.a.",'Inputs'!F30)</x:f>
        <x:v>n.a.</x:v>
      </x:c>
      <x:c r="E30" s="13" t="str">
        <x:f>IF(OR(B30="n.a.",C30="n.a."),"n.a.",C30-B30)</x:f>
        <x:v>n.a.</x:v>
      </x:c>
      <x:c r="F30" s="13" t="str">
        <x:f>IF(OR(C30="n.a.",D30="n.a."),"n.a.",C30-D30)</x:f>
        <x:v>n.a.</x:v>
      </x:c>
      <x:c r="G30" s="13" t="str">
        <x:f>IF(OR(B30="n.a.",C30="n.a.",D30="n.a."),"Thiếu đầu vào có bằng chứng","Đủ số liệu để phân tích")</x:f>
        <x:v>Thiếu đầu vào có bằng chứng</x:v>
      </x:c>
    </x:row>
    <x:row r="31" ht="55" customHeight="1">
      <x:c r="A31" s="9" t="str">
        <x:v>4.4.3</x:v>
      </x:c>
      <x:c r="B31" s="13" t="str">
        <x:f>IF(OR(NOT(ISNUMBER('Inputs'!C31)),NOT(ISNUMBER('Inputs'!D31)),'Inputs'!G31=""),"n.a.",'Inputs'!C31*'Inputs'!D31)</x:f>
        <x:v>n.a.</x:v>
      </x:c>
      <x:c r="C31" s="13" t="str">
        <x:f>IF(OR(NOT(ISNUMBER('Inputs'!C31)),NOT(ISNUMBER('Inputs'!E31)),'Inputs'!G31="",'Inputs'!H31=""),"n.a.",'Inputs'!C31*'Inputs'!E31)</x:f>
        <x:v>n.a.</x:v>
      </x:c>
      <x:c r="D31" s="13" t="str">
        <x:f>IF(OR(NOT(ISNUMBER('Inputs'!F31)),'Inputs'!I31=""),"n.a.",'Inputs'!F31)</x:f>
        <x:v>n.a.</x:v>
      </x:c>
      <x:c r="E31" s="13" t="str">
        <x:f>IF(OR(B31="n.a.",C31="n.a."),"n.a.",C31-B31)</x:f>
        <x:v>n.a.</x:v>
      </x:c>
      <x:c r="F31" s="13" t="str">
        <x:f>IF(OR(C31="n.a.",D31="n.a."),"n.a.",C31-D31)</x:f>
        <x:v>n.a.</x:v>
      </x:c>
      <x:c r="G31" s="13" t="str">
        <x:f>IF(OR(B31="n.a.",C31="n.a.",D31="n.a."),"Thiếu đầu vào có bằng chứng","Đủ số liệu để phân tích")</x:f>
        <x:v>Thiếu đầu vào có bằng chứng</x:v>
      </x:c>
    </x:row>
    <x:row r="32" ht="55" customHeight="1">
      <x:c r="A32" s="9" t="str">
        <x:v>4.4.4</x:v>
      </x:c>
      <x:c r="B32" s="13" t="str">
        <x:f>IF(OR(NOT(ISNUMBER('Inputs'!C32)),NOT(ISNUMBER('Inputs'!D32)),'Inputs'!G32=""),"n.a.",'Inputs'!C32*'Inputs'!D32)</x:f>
        <x:v>n.a.</x:v>
      </x:c>
      <x:c r="C32" s="13" t="str">
        <x:f>IF(OR(NOT(ISNUMBER('Inputs'!C32)),NOT(ISNUMBER('Inputs'!E32)),'Inputs'!G32="",'Inputs'!H32=""),"n.a.",'Inputs'!C32*'Inputs'!E32)</x:f>
        <x:v>n.a.</x:v>
      </x:c>
      <x:c r="D32" s="13" t="str">
        <x:f>IF(OR(NOT(ISNUMBER('Inputs'!F32)),'Inputs'!I32=""),"n.a.",'Inputs'!F32)</x:f>
        <x:v>n.a.</x:v>
      </x:c>
      <x:c r="E32" s="13" t="str">
        <x:f>IF(OR(B32="n.a.",C32="n.a."),"n.a.",C32-B32)</x:f>
        <x:v>n.a.</x:v>
      </x:c>
      <x:c r="F32" s="13" t="str">
        <x:f>IF(OR(C32="n.a.",D32="n.a."),"n.a.",C32-D32)</x:f>
        <x:v>n.a.</x:v>
      </x:c>
      <x:c r="G32" s="13" t="str">
        <x:f>IF(OR(B32="n.a.",C32="n.a.",D32="n.a."),"Thiếu đầu vào có bằng chứng","Đủ số liệu để phân tích")</x:f>
        <x:v>Thiếu đầu vào có bằng chứng</x:v>
      </x:c>
    </x:row>
    <x:row r="33" ht="55" customHeight="1">
      <x:c r="A33" s="9" t="str">
        <x:v>5.1</x:v>
      </x:c>
      <x:c r="B33" s="13" t="str">
        <x:f>IF(OR(NOT(ISNUMBER('Inputs'!C33)),NOT(ISNUMBER('Inputs'!D33)),'Inputs'!G33=""),"n.a.",'Inputs'!C33*'Inputs'!D33)</x:f>
        <x:v>n.a.</x:v>
      </x:c>
      <x:c r="C33" s="13" t="str">
        <x:f>IF(OR(NOT(ISNUMBER('Inputs'!C33)),NOT(ISNUMBER('Inputs'!E33)),'Inputs'!G33="",'Inputs'!H33=""),"n.a.",'Inputs'!C33*'Inputs'!E33)</x:f>
        <x:v>n.a.</x:v>
      </x:c>
      <x:c r="D33" s="13" t="str">
        <x:f>IF(OR(NOT(ISNUMBER('Inputs'!F33)),'Inputs'!I33=""),"n.a.",'Inputs'!F33)</x:f>
        <x:v>n.a.</x:v>
      </x:c>
      <x:c r="E33" s="13" t="str">
        <x:f>IF(OR(B33="n.a.",C33="n.a."),"n.a.",C33-B33)</x:f>
        <x:v>n.a.</x:v>
      </x:c>
      <x:c r="F33" s="13" t="str">
        <x:f>IF(OR(C33="n.a.",D33="n.a."),"n.a.",C33-D33)</x:f>
        <x:v>n.a.</x:v>
      </x:c>
      <x:c r="G33" s="13" t="str">
        <x:f>IF(OR(B33="n.a.",C33="n.a.",D33="n.a."),"Thiếu đầu vào có bằng chứng","Đủ số liệu để phân tích")</x:f>
        <x:v>Thiếu đầu vào có bằng chứng</x:v>
      </x:c>
    </x:row>
    <x:row r="34" ht="55" customHeight="1">
      <x:c r="A34" s="9" t="str">
        <x:v>5.2</x:v>
      </x:c>
      <x:c r="B34" s="13" t="str">
        <x:f>IF(OR(NOT(ISNUMBER('Inputs'!C34)),NOT(ISNUMBER('Inputs'!D34)),'Inputs'!G34=""),"n.a.",'Inputs'!C34*'Inputs'!D34)</x:f>
        <x:v>n.a.</x:v>
      </x:c>
      <x:c r="C34" s="13" t="str">
        <x:f>IF(OR(NOT(ISNUMBER('Inputs'!C34)),NOT(ISNUMBER('Inputs'!E34)),'Inputs'!G34="",'Inputs'!H34=""),"n.a.",'Inputs'!C34*'Inputs'!E34)</x:f>
        <x:v>n.a.</x:v>
      </x:c>
      <x:c r="D34" s="13" t="str">
        <x:f>IF(OR(NOT(ISNUMBER('Inputs'!F34)),'Inputs'!I34=""),"n.a.",'Inputs'!F34)</x:f>
        <x:v>n.a.</x:v>
      </x:c>
      <x:c r="E34" s="13" t="str">
        <x:f>IF(OR(B34="n.a.",C34="n.a."),"n.a.",C34-B34)</x:f>
        <x:v>n.a.</x:v>
      </x:c>
      <x:c r="F34" s="13" t="str">
        <x:f>IF(OR(C34="n.a.",D34="n.a."),"n.a.",C34-D34)</x:f>
        <x:v>n.a.</x:v>
      </x:c>
      <x:c r="G34" s="13" t="str">
        <x:f>IF(OR(B34="n.a.",C34="n.a.",D34="n.a."),"Thiếu đầu vào có bằng chứng","Đủ số liệu để phân tích")</x:f>
        <x:v>Thiếu đầu vào có bằng chứng</x:v>
      </x:c>
    </x:row>
    <x:row r="35" ht="55" customHeight="1">
      <x:c r="A35" s="9" t="str">
        <x:v>5.3</x:v>
      </x:c>
      <x:c r="B35" s="13" t="str">
        <x:f>IF(OR(NOT(ISNUMBER('Inputs'!C35)),NOT(ISNUMBER('Inputs'!D35)),'Inputs'!G35=""),"n.a.",'Inputs'!C35*'Inputs'!D35)</x:f>
        <x:v>n.a.</x:v>
      </x:c>
      <x:c r="C35" s="13" t="str">
        <x:f>IF(OR(NOT(ISNUMBER('Inputs'!C35)),NOT(ISNUMBER('Inputs'!E35)),'Inputs'!G35="",'Inputs'!H35=""),"n.a.",'Inputs'!C35*'Inputs'!E35)</x:f>
        <x:v>n.a.</x:v>
      </x:c>
      <x:c r="D35" s="13" t="str">
        <x:f>IF(OR(NOT(ISNUMBER('Inputs'!F35)),'Inputs'!I35=""),"n.a.",'Inputs'!F35)</x:f>
        <x:v>n.a.</x:v>
      </x:c>
      <x:c r="E35" s="13" t="str">
        <x:f>IF(OR(B35="n.a.",C35="n.a."),"n.a.",C35-B35)</x:f>
        <x:v>n.a.</x:v>
      </x:c>
      <x:c r="F35" s="13" t="str">
        <x:f>IF(OR(C35="n.a.",D35="n.a."),"n.a.",C35-D35)</x:f>
        <x:v>n.a.</x:v>
      </x:c>
      <x:c r="G35" s="13" t="str">
        <x:f>IF(OR(B35="n.a.",C35="n.a.",D35="n.a."),"Thiếu đầu vào có bằng chứng","Đủ số liệu để phân tích")</x:f>
        <x:v>Thiếu đầu vào có bằng chứng</x:v>
      </x:c>
    </x:row>
    <x:row r="36" ht="55" customHeight="1">
      <x:c r="A36" s="9" t="str">
        <x:v>6.1</x:v>
      </x:c>
      <x:c r="B36" s="13" t="str">
        <x:f>IF(OR(NOT(ISNUMBER('Inputs'!C36)),NOT(ISNUMBER('Inputs'!D36)),'Inputs'!G36=""),"n.a.",'Inputs'!C36*'Inputs'!D36)</x:f>
        <x:v>n.a.</x:v>
      </x:c>
      <x:c r="C36" s="13" t="str">
        <x:f>IF(OR(NOT(ISNUMBER('Inputs'!C36)),NOT(ISNUMBER('Inputs'!E36)),'Inputs'!G36="",'Inputs'!H36=""),"n.a.",'Inputs'!C36*'Inputs'!E36)</x:f>
        <x:v>n.a.</x:v>
      </x:c>
      <x:c r="D36" s="13" t="str">
        <x:f>IF(OR(NOT(ISNUMBER('Inputs'!F36)),'Inputs'!I36=""),"n.a.",'Inputs'!F36)</x:f>
        <x:v>n.a.</x:v>
      </x:c>
      <x:c r="E36" s="13" t="str">
        <x:f>IF(OR(B36="n.a.",C36="n.a."),"n.a.",C36-B36)</x:f>
        <x:v>n.a.</x:v>
      </x:c>
      <x:c r="F36" s="13" t="str">
        <x:f>IF(OR(C36="n.a.",D36="n.a."),"n.a.",C36-D36)</x:f>
        <x:v>n.a.</x:v>
      </x:c>
      <x:c r="G36" s="13" t="str">
        <x:f>IF(OR(B36="n.a.",C36="n.a.",D36="n.a."),"Thiếu đầu vào có bằng chứng","Đủ số liệu để phân tích")</x:f>
        <x:v>Thiếu đầu vào có bằng chứng</x:v>
      </x:c>
    </x:row>
    <x:row r="37" ht="55" customHeight="1">
      <x:c r="A37" s="9" t="str">
        <x:v>6.2</x:v>
      </x:c>
      <x:c r="B37" s="13" t="str">
        <x:f>IF(OR(NOT(ISNUMBER('Inputs'!C37)),NOT(ISNUMBER('Inputs'!D37)),'Inputs'!G37=""),"n.a.",'Inputs'!C37*'Inputs'!D37)</x:f>
        <x:v>n.a.</x:v>
      </x:c>
      <x:c r="C37" s="13" t="str">
        <x:f>IF(OR(NOT(ISNUMBER('Inputs'!C37)),NOT(ISNUMBER('Inputs'!E37)),'Inputs'!G37="",'Inputs'!H37=""),"n.a.",'Inputs'!C37*'Inputs'!E37)</x:f>
        <x:v>n.a.</x:v>
      </x:c>
      <x:c r="D37" s="13" t="str">
        <x:f>IF(OR(NOT(ISNUMBER('Inputs'!F37)),'Inputs'!I37=""),"n.a.",'Inputs'!F37)</x:f>
        <x:v>n.a.</x:v>
      </x:c>
      <x:c r="E37" s="13" t="str">
        <x:f>IF(OR(B37="n.a.",C37="n.a."),"n.a.",C37-B37)</x:f>
        <x:v>n.a.</x:v>
      </x:c>
      <x:c r="F37" s="13" t="str">
        <x:f>IF(OR(C37="n.a.",D37="n.a."),"n.a.",C37-D37)</x:f>
        <x:v>n.a.</x:v>
      </x:c>
      <x:c r="G37" s="13" t="str">
        <x:f>IF(OR(B37="n.a.",C37="n.a.",D37="n.a."),"Thiếu đầu vào có bằng chứng","Đủ số liệu để phân tích")</x:f>
        <x:v>Thiếu đầu vào có bằng chứng</x:v>
      </x:c>
    </x:row>
    <x:row r="38" ht="55" customHeight="1">
      <x:c r="A38" s="9" t="str">
        <x:v>6.3</x:v>
      </x:c>
      <x:c r="B38" s="13" t="str">
        <x:f>IF(OR(NOT(ISNUMBER('Inputs'!C38)),NOT(ISNUMBER('Inputs'!D38)),'Inputs'!G38=""),"n.a.",'Inputs'!C38*'Inputs'!D38)</x:f>
        <x:v>n.a.</x:v>
      </x:c>
      <x:c r="C38" s="13" t="str">
        <x:f>IF(OR(NOT(ISNUMBER('Inputs'!C38)),NOT(ISNUMBER('Inputs'!E38)),'Inputs'!G38="",'Inputs'!H38=""),"n.a.",'Inputs'!C38*'Inputs'!E38)</x:f>
        <x:v>n.a.</x:v>
      </x:c>
      <x:c r="D38" s="13" t="str">
        <x:f>IF(OR(NOT(ISNUMBER('Inputs'!F38)),'Inputs'!I38=""),"n.a.",'Inputs'!F38)</x:f>
        <x:v>n.a.</x:v>
      </x:c>
      <x:c r="E38" s="13" t="str">
        <x:f>IF(OR(B38="n.a.",C38="n.a."),"n.a.",C38-B38)</x:f>
        <x:v>n.a.</x:v>
      </x:c>
      <x:c r="F38" s="13" t="str">
        <x:f>IF(OR(C38="n.a.",D38="n.a."),"n.a.",C38-D38)</x:f>
        <x:v>n.a.</x:v>
      </x:c>
      <x:c r="G38" s="13" t="str">
        <x:f>IF(OR(B38="n.a.",C38="n.a.",D38="n.a."),"Thiếu đầu vào có bằng chứng","Đủ số liệu để phân tích")</x:f>
        <x:v>Thiếu đầu vào có bằng chứng</x:v>
      </x:c>
    </x:row>
    <x:row r="39" ht="55" customHeight="1">
      <x:c r="A39" s="9" t="str">
        <x:v>6.4</x:v>
      </x:c>
      <x:c r="B39" s="13" t="str">
        <x:f>IF(OR(NOT(ISNUMBER('Inputs'!C39)),NOT(ISNUMBER('Inputs'!D39)),'Inputs'!G39=""),"n.a.",'Inputs'!C39*'Inputs'!D39)</x:f>
        <x:v>n.a.</x:v>
      </x:c>
      <x:c r="C39" s="13" t="str">
        <x:f>IF(OR(NOT(ISNUMBER('Inputs'!C39)),NOT(ISNUMBER('Inputs'!E39)),'Inputs'!G39="",'Inputs'!H39=""),"n.a.",'Inputs'!C39*'Inputs'!E39)</x:f>
        <x:v>n.a.</x:v>
      </x:c>
      <x:c r="D39" s="13" t="str">
        <x:f>IF(OR(NOT(ISNUMBER('Inputs'!F39)),'Inputs'!I39=""),"n.a.",'Inputs'!F39)</x:f>
        <x:v>n.a.</x:v>
      </x:c>
      <x:c r="E39" s="13" t="str">
        <x:f>IF(OR(B39="n.a.",C39="n.a."),"n.a.",C39-B39)</x:f>
        <x:v>n.a.</x:v>
      </x:c>
      <x:c r="F39" s="13" t="str">
        <x:f>IF(OR(C39="n.a.",D39="n.a."),"n.a.",C39-D39)</x:f>
        <x:v>n.a.</x:v>
      </x:c>
      <x:c r="G39" s="13" t="str">
        <x:f>IF(OR(B39="n.a.",C39="n.a.",D39="n.a."),"Thiếu đầu vào có bằng chứng","Đủ số liệu để phân tích")</x:f>
        <x:v>Thiếu đầu vào có bằng chứng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27" hidden="0" customWidth="1"/>
    <x:col min="5" max="5" width="33" hidden="0" customWidth="1"/>
    <x:col min="6" max="6" width="25" hidden="0" customWidth="1"/>
    <x:col min="7" max="7" width="38" hidden="0" customWidth="1"/>
    <x:col min="8" max="8" width="48" hidden="0" customWidth="1"/>
    <x:col min="9" max="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M04 — Đầu vào kiểm soát theo gói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 t="str">
        <x:v>Ngày chốt 24/09/2026. Forecast không tự thành BAC. EV = BAC × phần được chấp nhận; bằng chứng/cùng phạm vi bắt buộc.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40" customHeight="1">
      <x:c r="A7" s="8" t="str">
        <x:v>WBS</x:v>
      </x:c>
      <x:c r="B7" s="8" t="str">
        <x:v>Forecast giờ</x:v>
      </x:c>
      <x:c r="C7" s="8" t="str">
        <x:v>BAC được duyệt (VND)</x:v>
      </x:c>
      <x:c r="D7" s="8" t="str">
        <x:v>Kế hoạch đến kỳ (%)</x:v>
      </x:c>
      <x:c r="E7" s="8" t="str">
        <x:v>Hoàn thành được chấp nhận (%)</x:v>
      </x:c>
      <x:c r="F7" s="8" t="str">
        <x:v>AC thực tế (VND)</x:v>
      </x:c>
      <x:c r="G7" s="8" t="str">
        <x:v>Mã baseline được duyệt</x:v>
      </x:c>
      <x:c r="H7" s="8" t="str">
        <x:v>Bằng chứng chấp nhận</x:v>
      </x:c>
      <x:c r="I7" s="8" t="str">
        <x:v>Bằng chứng AC</x:v>
      </x:c>
    </x:row>
    <x:row r="8" ht="55" customHeight="1">
      <x:c r="A8" s="9" t="str">
        <x:v>1.1</x:v>
      </x:c>
      <x:c r="B8" s="9" t="n">
        <x:v>23</x:v>
      </x:c>
      <x:c r="C8" s="12"/>
      <x:c r="D8" s="11"/>
      <x:c r="E8" s="11"/>
      <x:c r="F8" s="12"/>
      <x:c r="G8" s="10"/>
      <x:c r="H8" s="10"/>
      <x:c r="I8" s="10"/>
    </x:row>
    <x:row r="9" ht="55" customHeight="1">
      <x:c r="A9" s="9" t="str">
        <x:v>1.2</x:v>
      </x:c>
      <x:c r="B9" s="9" t="n">
        <x:v>28</x:v>
      </x:c>
      <x:c r="C9" s="12" t="str"/>
      <x:c r="D9" s="11" t="str"/>
      <x:c r="E9" s="11" t="str"/>
      <x:c r="F9" s="12" t="str"/>
      <x:c r="G9" s="10" t="str"/>
      <x:c r="H9" s="10" t="str"/>
      <x:c r="I9" s="10" t="str"/>
    </x:row>
    <x:row r="10" ht="55" customHeight="1">
      <x:c r="A10" s="9" t="str">
        <x:v>1.3</x:v>
      </x:c>
      <x:c r="B10" s="9" t="n">
        <x:v>16</x:v>
      </x:c>
      <x:c r="C10" s="12" t="str"/>
      <x:c r="D10" s="11" t="str"/>
      <x:c r="E10" s="11" t="str"/>
      <x:c r="F10" s="12" t="str"/>
      <x:c r="G10" s="10" t="str"/>
      <x:c r="H10" s="10" t="str"/>
      <x:c r="I10" s="10" t="str"/>
    </x:row>
    <x:row r="11" ht="55" customHeight="1">
      <x:c r="A11" s="9" t="str">
        <x:v>2.1</x:v>
      </x:c>
      <x:c r="B11" s="9" t="n">
        <x:v>12</x:v>
      </x:c>
      <x:c r="C11" s="12" t="str"/>
      <x:c r="D11" s="11" t="str"/>
      <x:c r="E11" s="11" t="str"/>
      <x:c r="F11" s="12" t="str"/>
      <x:c r="G11" s="10" t="str"/>
      <x:c r="H11" s="10" t="str"/>
      <x:c r="I11" s="10" t="str"/>
    </x:row>
    <x:row r="12" ht="55" customHeight="1">
      <x:c r="A12" s="9" t="str">
        <x:v>2.2</x:v>
      </x:c>
      <x:c r="B12" s="9" t="n">
        <x:v>8</x:v>
      </x:c>
      <x:c r="C12" s="12" t="str"/>
      <x:c r="D12" s="11" t="str"/>
      <x:c r="E12" s="11" t="str"/>
      <x:c r="F12" s="12" t="str"/>
      <x:c r="G12" s="10" t="str"/>
      <x:c r="H12" s="10" t="str"/>
      <x:c r="I12" s="10" t="str"/>
    </x:row>
    <x:row r="13" ht="55" customHeight="1">
      <x:c r="A13" s="9" t="str">
        <x:v>3.1</x:v>
      </x:c>
      <x:c r="B13" s="9" t="n">
        <x:v>10</x:v>
      </x:c>
      <x:c r="C13" s="12" t="str"/>
      <x:c r="D13" s="11" t="str"/>
      <x:c r="E13" s="11" t="str"/>
      <x:c r="F13" s="12" t="str"/>
      <x:c r="G13" s="10" t="str"/>
      <x:c r="H13" s="10" t="str"/>
      <x:c r="I13" s="10" t="str"/>
    </x:row>
    <x:row r="14" ht="55" customHeight="1">
      <x:c r="A14" s="9" t="str">
        <x:v>3.2</x:v>
      </x:c>
      <x:c r="B14" s="9" t="n">
        <x:v>23.333333333333332</x:v>
      </x:c>
      <x:c r="C14" s="12" t="str"/>
      <x:c r="D14" s="11" t="str"/>
      <x:c r="E14" s="11" t="str"/>
      <x:c r="F14" s="12" t="str"/>
      <x:c r="G14" s="10" t="str"/>
      <x:c r="H14" s="10" t="str"/>
      <x:c r="I14" s="10" t="str"/>
    </x:row>
    <x:row r="15" ht="55" customHeight="1">
      <x:c r="A15" s="9" t="str">
        <x:v>4.1</x:v>
      </x:c>
      <x:c r="B15" s="9" t="n">
        <x:v>24</x:v>
      </x:c>
      <x:c r="C15" s="12" t="str"/>
      <x:c r="D15" s="11" t="str"/>
      <x:c r="E15" s="11" t="str"/>
      <x:c r="F15" s="12" t="str"/>
      <x:c r="G15" s="10" t="str"/>
      <x:c r="H15" s="10" t="str"/>
      <x:c r="I15" s="10" t="str"/>
    </x:row>
    <x:row r="16" ht="55" customHeight="1">
      <x:c r="A16" s="9" t="str">
        <x:v>4.2.1</x:v>
      </x:c>
      <x:c r="B16" s="9" t="n">
        <x:v>28.666666666666668</x:v>
      </x:c>
      <x:c r="C16" s="12" t="str"/>
      <x:c r="D16" s="11" t="str"/>
      <x:c r="E16" s="11" t="str"/>
      <x:c r="F16" s="12" t="str"/>
      <x:c r="G16" s="10" t="str"/>
      <x:c r="H16" s="10" t="str"/>
      <x:c r="I16" s="10" t="str"/>
    </x:row>
    <x:row r="17" ht="55" customHeight="1">
      <x:c r="A17" s="9" t="str">
        <x:v>4.2.2</x:v>
      </x:c>
      <x:c r="B17" s="9" t="n">
        <x:v>13.333333333333334</x:v>
      </x:c>
      <x:c r="C17" s="12" t="str"/>
      <x:c r="D17" s="11" t="str"/>
      <x:c r="E17" s="11" t="str"/>
      <x:c r="F17" s="12" t="str"/>
      <x:c r="G17" s="10" t="str"/>
      <x:c r="H17" s="10" t="str"/>
      <x:c r="I17" s="10" t="str"/>
    </x:row>
    <x:row r="18" ht="55" customHeight="1">
      <x:c r="A18" s="9" t="str">
        <x:v>4.2.3</x:v>
      </x:c>
      <x:c r="B18" s="9" t="n">
        <x:v>24.666666666666668</x:v>
      </x:c>
      <x:c r="C18" s="12" t="str"/>
      <x:c r="D18" s="11" t="str"/>
      <x:c r="E18" s="11" t="str"/>
      <x:c r="F18" s="12" t="str"/>
      <x:c r="G18" s="10" t="str"/>
      <x:c r="H18" s="10" t="str"/>
      <x:c r="I18" s="10" t="str"/>
    </x:row>
    <x:row r="19" ht="55" customHeight="1">
      <x:c r="A19" s="9" t="str">
        <x:v>4.2.4</x:v>
      </x:c>
      <x:c r="B19" s="9" t="n">
        <x:v>22</x:v>
      </x:c>
      <x:c r="C19" s="12" t="str"/>
      <x:c r="D19" s="11" t="str"/>
      <x:c r="E19" s="11" t="str"/>
      <x:c r="F19" s="12" t="str"/>
      <x:c r="G19" s="10" t="str"/>
      <x:c r="H19" s="10" t="str"/>
      <x:c r="I19" s="10" t="str"/>
    </x:row>
    <x:row r="20" ht="55" customHeight="1">
      <x:c r="A20" s="9" t="str">
        <x:v>4.2.5</x:v>
      </x:c>
      <x:c r="B20" s="9" t="n">
        <x:v>15.333333333333334</x:v>
      </x:c>
      <x:c r="C20" s="12" t="str"/>
      <x:c r="D20" s="11" t="str"/>
      <x:c r="E20" s="11" t="str"/>
      <x:c r="F20" s="12" t="str"/>
      <x:c r="G20" s="10" t="str"/>
      <x:c r="H20" s="10" t="str"/>
      <x:c r="I20" s="10" t="str"/>
    </x:row>
    <x:row r="21" ht="55" customHeight="1">
      <x:c r="A21" s="9" t="str">
        <x:v>4.2.6</x:v>
      </x:c>
      <x:c r="B21" s="9" t="n">
        <x:v>23.666666666666668</x:v>
      </x:c>
      <x:c r="C21" s="12" t="str"/>
      <x:c r="D21" s="11" t="str"/>
      <x:c r="E21" s="11" t="str"/>
      <x:c r="F21" s="12" t="str"/>
      <x:c r="G21" s="10" t="str"/>
      <x:c r="H21" s="10" t="str"/>
      <x:c r="I21" s="10" t="str"/>
    </x:row>
    <x:row r="22" ht="55" customHeight="1">
      <x:c r="A22" s="9" t="str">
        <x:v>4.2.7</x:v>
      </x:c>
      <x:c r="B22" s="9" t="n">
        <x:v>11.333333333333334</x:v>
      </x:c>
      <x:c r="C22" s="12" t="str"/>
      <x:c r="D22" s="11" t="str"/>
      <x:c r="E22" s="11" t="str"/>
      <x:c r="F22" s="12" t="str"/>
      <x:c r="G22" s="10" t="str"/>
      <x:c r="H22" s="10" t="str"/>
      <x:c r="I22" s="10" t="str"/>
    </x:row>
    <x:row r="23" ht="55" customHeight="1">
      <x:c r="A23" s="9" t="str">
        <x:v>4.3.1</x:v>
      </x:c>
      <x:c r="B23" s="9" t="n">
        <x:v>14</x:v>
      </x:c>
      <x:c r="C23" s="12" t="str"/>
      <x:c r="D23" s="11" t="str"/>
      <x:c r="E23" s="11" t="str"/>
      <x:c r="F23" s="12" t="str"/>
      <x:c r="G23" s="10" t="str"/>
      <x:c r="H23" s="10" t="str"/>
      <x:c r="I23" s="10" t="str"/>
    </x:row>
    <x:row r="24" ht="55" customHeight="1">
      <x:c r="A24" s="9" t="str">
        <x:v>4.3.2</x:v>
      </x:c>
      <x:c r="B24" s="9" t="n">
        <x:v>24</x:v>
      </x:c>
      <x:c r="C24" s="12" t="str"/>
      <x:c r="D24" s="11" t="str"/>
      <x:c r="E24" s="11" t="str"/>
      <x:c r="F24" s="12" t="str"/>
      <x:c r="G24" s="10" t="str"/>
      <x:c r="H24" s="10" t="str"/>
      <x:c r="I24" s="10" t="str"/>
    </x:row>
    <x:row r="25" ht="55" customHeight="1">
      <x:c r="A25" s="9" t="str">
        <x:v>4.3.3</x:v>
      </x:c>
      <x:c r="B25" s="9" t="n">
        <x:v>26.666666666666668</x:v>
      </x:c>
      <x:c r="C25" s="12" t="str"/>
      <x:c r="D25" s="11" t="str"/>
      <x:c r="E25" s="11" t="str"/>
      <x:c r="F25" s="12" t="str"/>
      <x:c r="G25" s="10" t="str"/>
      <x:c r="H25" s="10" t="str"/>
      <x:c r="I25" s="10" t="str"/>
    </x:row>
    <x:row r="26" ht="55" customHeight="1">
      <x:c r="A26" s="9" t="str">
        <x:v>4.3.4</x:v>
      </x:c>
      <x:c r="B26" s="9" t="n">
        <x:v>16</x:v>
      </x:c>
      <x:c r="C26" s="12" t="str"/>
      <x:c r="D26" s="11" t="str"/>
      <x:c r="E26" s="11" t="str"/>
      <x:c r="F26" s="12" t="str"/>
      <x:c r="G26" s="10" t="str"/>
      <x:c r="H26" s="10" t="str"/>
      <x:c r="I26" s="10" t="str"/>
    </x:row>
    <x:row r="27" ht="55" customHeight="1">
      <x:c r="A27" s="9" t="str">
        <x:v>4.3.5</x:v>
      </x:c>
      <x:c r="B27" s="9" t="n">
        <x:v>22</x:v>
      </x:c>
      <x:c r="C27" s="12" t="str"/>
      <x:c r="D27" s="11" t="str"/>
      <x:c r="E27" s="11" t="str"/>
      <x:c r="F27" s="12" t="str"/>
      <x:c r="G27" s="10" t="str"/>
      <x:c r="H27" s="10" t="str"/>
      <x:c r="I27" s="10" t="str"/>
    </x:row>
    <x:row r="28" ht="55" customHeight="1">
      <x:c r="A28" s="9" t="str">
        <x:v>4.3.6</x:v>
      </x:c>
      <x:c r="B28" s="9" t="n">
        <x:v>26</x:v>
      </x:c>
      <x:c r="C28" s="12" t="str"/>
      <x:c r="D28" s="11" t="str"/>
      <x:c r="E28" s="11" t="str"/>
      <x:c r="F28" s="12" t="str"/>
      <x:c r="G28" s="10" t="str"/>
      <x:c r="H28" s="10" t="str"/>
      <x:c r="I28" s="10" t="str"/>
    </x:row>
    <x:row r="29" ht="55" customHeight="1">
      <x:c r="A29" s="9" t="str">
        <x:v>4.4.1</x:v>
      </x:c>
      <x:c r="B29" s="9" t="n">
        <x:v>22</x:v>
      </x:c>
      <x:c r="C29" s="12" t="str"/>
      <x:c r="D29" s="11" t="str"/>
      <x:c r="E29" s="11" t="str"/>
      <x:c r="F29" s="12" t="str"/>
      <x:c r="G29" s="10" t="str"/>
      <x:c r="H29" s="10" t="str"/>
      <x:c r="I29" s="10" t="str"/>
    </x:row>
    <x:row r="30" ht="55" customHeight="1">
      <x:c r="A30" s="9" t="str">
        <x:v>4.4.2</x:v>
      </x:c>
      <x:c r="B30" s="9" t="n">
        <x:v>20</x:v>
      </x:c>
      <x:c r="C30" s="12" t="str"/>
      <x:c r="D30" s="11" t="str"/>
      <x:c r="E30" s="11" t="str"/>
      <x:c r="F30" s="12" t="str"/>
      <x:c r="G30" s="10" t="str"/>
      <x:c r="H30" s="10" t="str"/>
      <x:c r="I30" s="10" t="str"/>
    </x:row>
    <x:row r="31" ht="55" customHeight="1">
      <x:c r="A31" s="9" t="str">
        <x:v>4.4.3</x:v>
      </x:c>
      <x:c r="B31" s="9" t="n">
        <x:v>14</x:v>
      </x:c>
      <x:c r="C31" s="12" t="str"/>
      <x:c r="D31" s="11" t="str"/>
      <x:c r="E31" s="11" t="str"/>
      <x:c r="F31" s="12" t="str"/>
      <x:c r="G31" s="10" t="str"/>
      <x:c r="H31" s="10" t="str"/>
      <x:c r="I31" s="10" t="str"/>
    </x:row>
    <x:row r="32" ht="55" customHeight="1">
      <x:c r="A32" s="9" t="str">
        <x:v>4.4.4</x:v>
      </x:c>
      <x:c r="B32" s="9" t="n">
        <x:v>16</x:v>
      </x:c>
      <x:c r="C32" s="12" t="str"/>
      <x:c r="D32" s="11" t="str"/>
      <x:c r="E32" s="11" t="str"/>
      <x:c r="F32" s="12" t="str"/>
      <x:c r="G32" s="10" t="str"/>
      <x:c r="H32" s="10" t="str"/>
      <x:c r="I32" s="10" t="str"/>
    </x:row>
    <x:row r="33" ht="55" customHeight="1">
      <x:c r="A33" s="9" t="str">
        <x:v>5.1</x:v>
      </x:c>
      <x:c r="B33" s="9" t="n">
        <x:v>16.333333333333332</x:v>
      </x:c>
      <x:c r="C33" s="12" t="str"/>
      <x:c r="D33" s="11" t="str"/>
      <x:c r="E33" s="11" t="str"/>
      <x:c r="F33" s="12" t="str"/>
      <x:c r="G33" s="10" t="str"/>
      <x:c r="H33" s="10" t="str"/>
      <x:c r="I33" s="10" t="str"/>
    </x:row>
    <x:row r="34" ht="55" customHeight="1">
      <x:c r="A34" s="9" t="str">
        <x:v>5.2</x:v>
      </x:c>
      <x:c r="B34" s="9" t="n">
        <x:v>28</x:v>
      </x:c>
      <x:c r="C34" s="12" t="str"/>
      <x:c r="D34" s="11" t="str"/>
      <x:c r="E34" s="11" t="str"/>
      <x:c r="F34" s="12" t="str"/>
      <x:c r="G34" s="10" t="str"/>
      <x:c r="H34" s="10" t="str"/>
      <x:c r="I34" s="10" t="str"/>
    </x:row>
    <x:row r="35" ht="55" customHeight="1">
      <x:c r="A35" s="9" t="str">
        <x:v>5.3</x:v>
      </x:c>
      <x:c r="B35" s="9" t="n">
        <x:v>20.666666666666668</x:v>
      </x:c>
      <x:c r="C35" s="12" t="str"/>
      <x:c r="D35" s="11" t="str"/>
      <x:c r="E35" s="11" t="str"/>
      <x:c r="F35" s="12" t="str"/>
      <x:c r="G35" s="10" t="str"/>
      <x:c r="H35" s="10" t="str"/>
      <x:c r="I35" s="10" t="str"/>
    </x:row>
    <x:row r="36" ht="55" customHeight="1">
      <x:c r="A36" s="9" t="str">
        <x:v>6.1</x:v>
      </x:c>
      <x:c r="B36" s="9" t="n">
        <x:v>20</x:v>
      </x:c>
      <x:c r="C36" s="12" t="str"/>
      <x:c r="D36" s="11" t="str"/>
      <x:c r="E36" s="11" t="str"/>
      <x:c r="F36" s="12" t="str"/>
      <x:c r="G36" s="10" t="str"/>
      <x:c r="H36" s="10" t="str"/>
      <x:c r="I36" s="10" t="str"/>
    </x:row>
    <x:row r="37" ht="55" customHeight="1">
      <x:c r="A37" s="9" t="str">
        <x:v>6.2</x:v>
      </x:c>
      <x:c r="B37" s="9" t="n">
        <x:v>10</x:v>
      </x:c>
      <x:c r="C37" s="12" t="str"/>
      <x:c r="D37" s="11" t="str"/>
      <x:c r="E37" s="11" t="str"/>
      <x:c r="F37" s="12" t="str"/>
      <x:c r="G37" s="10" t="str"/>
      <x:c r="H37" s="10" t="str"/>
      <x:c r="I37" s="10" t="str"/>
    </x:row>
    <x:row r="38" ht="55" customHeight="1">
      <x:c r="A38" s="9" t="str">
        <x:v>6.3</x:v>
      </x:c>
      <x:c r="B38" s="9" t="n">
        <x:v>12</x:v>
      </x:c>
      <x:c r="C38" s="12" t="str"/>
      <x:c r="D38" s="11" t="str"/>
      <x:c r="E38" s="11" t="str"/>
      <x:c r="F38" s="12" t="str"/>
      <x:c r="G38" s="10" t="str"/>
      <x:c r="H38" s="10" t="str"/>
      <x:c r="I38" s="10" t="str"/>
    </x:row>
    <x:row r="39" ht="55" customHeight="1">
      <x:c r="A39" s="9" t="str">
        <x:v>6.4</x:v>
      </x:c>
      <x:c r="B39" s="9" t="n">
        <x:v>8</x:v>
      </x:c>
      <x:c r="C39" s="12" t="str"/>
      <x:c r="D39" s="11" t="str"/>
      <x:c r="E39" s="11" t="str"/>
      <x:c r="F39" s="12" t="str"/>
      <x:c r="G39" s="10" t="str"/>
      <x:c r="H39" s="10" t="str"/>
      <x:c r="I39" s="10" t="str"/>
    </x:row>
  </x:sheetData>
  <x:pageMargins left="0.7" right="0.7" top="0.75" bottom="0.75" header="0.3" footer="0.3"/>
</x:worksheet>
</file>