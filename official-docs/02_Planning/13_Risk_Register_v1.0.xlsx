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77a66dcdc46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_Register" sheetId="1" r:id="Rf7dc0d7a538045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&quot;–&quot;"/>
    <x:numFmt numFmtId="201" formatCode="0.0%"/>
    <x:numFmt numFmtId="202" formatCode="0"/>
  </x:numFmts>
  <x:fonts count="6">
    <x:font>
      <x:sz val="11"/>
      <x:name val="Carlito"/>
    </x:font>
    <x:font>
      <x:sz val="10"/>
      <x:color rgb="FF172B45"/>
      <x:name val="Arial"/>
    </x:font>
    <x:font>
      <x:b/>
      <x:sz val="14"/>
      <x:color rgb="FF203B5E"/>
      <x:name val="Arial"/>
    </x:font>
    <x:font>
      <x:i/>
      <x:sz val="10"/>
      <x:color rgb="FF526173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E"/>
      </x:patternFill>
    </x:fill>
    <x:fill>
      <x:patternFill patternType="solid">
        <x:fgColor rgb="FFFFF2D5"/>
      </x:patternFill>
    </x:fill>
  </x:fills>
  <x:borders count="4">
    <x:border/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5" fillId="3" borderId="0" xfId="0" applyNumberFormat="1" applyFont="1" applyFill="1" applyBorder="1" applyAlignment="1">
      <x:alignment vertical="center" wrapText="1"/>
    </x:xf>
    <x:xf numFmtId="202" fontId="5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A52132"/>
      </x:font>
      <x:fill>
        <x:patternFill patternType="solid">
          <x:bgColor rgb="FFFCE4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41e16b19d4e62" /><Relationship Type="http://schemas.openxmlformats.org/officeDocument/2006/relationships/theme" Target="/xl/theme/theme1.xml" Id="R90dba79969404c77" /><Relationship Type="http://schemas.openxmlformats.org/officeDocument/2006/relationships/sharedStrings" Target="/xl/sharedStrings.xml" Id="Rf351e434c1f64594" /><Relationship Type="http://schemas.openxmlformats.org/officeDocument/2006/relationships/worksheet" Target="/xl/worksheets/sheet1.xml" Id="Rf7dc0d7a538045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B5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6" hidden="0" customWidth="1"/>
    <x:col min="2" max="2" width="34" hidden="0" customWidth="1"/>
    <x:col min="3" max="3" width="34" hidden="0" customWidth="1"/>
    <x:col min="4" max="4" width="34" hidden="0" customWidth="1"/>
    <x:col min="5" max="5" width="10" hidden="0" customWidth="1"/>
    <x:col min="6" max="6" width="10" hidden="0" customWidth="1"/>
    <x:col min="7" max="7" width="12" hidden="0" customWidth="1"/>
    <x:col min="8" max="8" width="15" hidden="0" customWidth="1"/>
    <x:col min="9" max="9" width="13" hidden="0" customWidth="1"/>
    <x:col min="10" max="10" width="14" hidden="0" customWidth="1"/>
    <x:col min="11" max="11" width="14" hidden="0" customWidth="1"/>
    <x:col min="12" max="12" width="18" hidden="0" customWidth="1"/>
    <x:col min="13" max="13" width="36" hidden="0" customWidth="1"/>
    <x:col min="14" max="14" width="50" hidden="0" customWidth="1"/>
    <x:col min="15" max="15" width="25" hidden="0" customWidth="1"/>
    <x:col min="16" max="16" width="34" hidden="0" customWidth="1"/>
    <x:col min="17" max="17" width="3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s="3" t="str">
        <x:v>P13 — Sổ rủi ro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>
      <x:c r="A3" s="2" t="str">
        <x:v>Dự thảo hồ sơ ngày 24/09/2026. Chưa có xác nhận độc lập hoặc nghiệm thu sản phẩm.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>
      <x:c r="A4" s="4" t="str">
        <x:v>Nguồn: A_01/A_02, B_01/B_02, C_01/C_02 và bộ quyết định thống nhất ngày 24/09/2026.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>
      <x:c r="A5" s="2" t="str">
        <x:v>P: 10/30/50/70/90%; I: ≤2/4/8/16/&gt;16 giờ. Cao ≥13; trung bình 7–12; thấp ≤6.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</x:row>
    <x:row r="7" ht="40" customHeight="1">
      <x:c r="A7" s="10" t="str">
        <x:v>Mã rủi ro</x:v>
      </x:c>
      <x:c r="B7" s="11" t="str">
        <x:v>Nguyên nhân</x:v>
      </x:c>
      <x:c r="C7" s="11" t="str">
        <x:v>Sự kiện</x:v>
      </x:c>
      <x:c r="D7" s="11" t="str">
        <x:v>Hậu quả</x:v>
      </x:c>
      <x:c r="E7" s="11" t="str">
        <x:v>P (1–5)</x:v>
      </x:c>
      <x:c r="F7" s="11" t="str">
        <x:v>I (1–5)</x:v>
      </x:c>
      <x:c r="G7" s="11" t="str">
        <x:v>Điểm P×I</x:v>
      </x:c>
      <x:c r="H7" s="11" t="str">
        <x:v>Ưu tiên</x:v>
      </x:c>
      <x:c r="I7" s="11" t="str">
        <x:v>Xác suất</x:v>
      </x:c>
      <x:c r="J7" s="11" t="str">
        <x:v>Tác động (giờ)</x:v>
      </x:c>
      <x:c r="K7" s="11" t="str">
        <x:v>EMV (giờ)</x:v>
      </x:c>
      <x:c r="L7" s="11" t="str">
        <x:v>Chủ rủi ro</x:v>
      </x:c>
      <x:c r="M7" s="11" t="str">
        <x:v>Dấu hiệu kích hoạt</x:v>
      </x:c>
      <x:c r="N7" s="11" t="str">
        <x:v>Ứng phó / dự phòng</x:v>
      </x:c>
      <x:c r="O7" s="11" t="str">
        <x:v>Trạng thái</x:v>
      </x:c>
      <x:c r="P7" s="11" t="str">
        <x:v>Căn cứ / thời hạn</x:v>
      </x:c>
      <x:c r="Q7" s="12" t="str">
        <x:v>Còn lại / thứ cấp</x:v>
      </x:c>
    </x:row>
    <x:row r="8" ht="110" customHeight="1">
      <x:c r="A8" s="9" t="str">
        <x:v>R-A-01</x:v>
      </x:c>
      <x:c r="B8" s="9" t="str">
        <x:v>Encoder1080p không hỗ trợ</x:v>
      </x:c>
      <x:c r="C8" s="9" t="str">
        <x:v>Không xuất được1080p</x:v>
      </x:c>
      <x:c r="D8" s="9" t="str">
        <x:v>Không chứng minhOB-01</x:v>
      </x:c>
      <x:c r="E8" s="20" t="n">
        <x:v>3</x:v>
      </x:c>
      <x:c r="F8" s="20" t="n">
        <x:v>4</x:v>
      </x:c>
      <x:c r="G8" s="21" t="n">
        <x:f>E8*F8</x:f>
        <x:v>12</x:v>
      </x:c>
      <x:c r="H8" s="13" t="str">
        <x:f>IF(G8&gt;=13,"Cao",IF(G8&gt;=7,"Trung bình","Thấp"))</x:f>
        <x:v>Trung bình</x:v>
      </x:c>
      <x:c r="I8" s="19" t="n">
        <x:v>0.5</x:v>
      </x:c>
      <x:c r="J8" s="17" t="n">
        <x:v>12</x:v>
      </x:c>
      <x:c r="K8" s="13" t="n">
        <x:f>IF(OR(NOT(ISNUMBER(I8)),NOT(ISNUMBER(J8))),"n.a.",I8*J8)</x:f>
        <x:v>6</x:v>
      </x:c>
      <x:c r="L8" s="9" t="str">
        <x:v>Chiến</x:v>
      </x:c>
      <x:c r="M8" s="9" t="str">
        <x:v>Probefalse trên máyđo</x:v>
      </x:c>
      <x:c r="N8" s="9" t="str">
        <x:v>Thử máy có giao diện; mượn máy tham chiếu; công bố giới hạn.</x:v>
      </x:c>
      <x:c r="O8" s="9" t="str">
        <x:v>Theo dõi</x:v>
      </x:c>
      <x:c r="P8" s="9" t="str">
        <x:v>Ước lượng phán đoán; exposure chưa phải reserve được duyệt. Rủi ro đã biết/đo chuẩn nằmbase.</x:v>
      </x:c>
      <x:c r="Q8" s="9" t="str">
        <x:v>Không cộng reserve: đã nằm base hoặc trùng rủi ro chung. Exposure chỉ tham khảo.</x:v>
      </x:c>
    </x:row>
    <x:row r="9" ht="110" customHeight="1">
      <x:c r="A9" s="9" t="str">
        <x:v>R-A-02</x:v>
      </x:c>
      <x:c r="B9" s="9" t="str">
        <x:v>Không đo được bộ nhớWorker</x:v>
      </x:c>
      <x:c r="C9" s="9" t="str">
        <x:v>Thiếu số liệu đỉnh</x:v>
      </x:c>
      <x:c r="D9" s="9" t="str">
        <x:v>Không chứng minhOB-02</x:v>
      </x:c>
      <x:c r="E9" s="20" t="n">
        <x:v>4</x:v>
      </x:c>
      <x:c r="F9" s="20" t="n">
        <x:v>3</x:v>
      </x:c>
      <x:c r="G9" s="21" t="n">
        <x:f>E9*F9</x:f>
        <x:v>12</x:v>
      </x:c>
      <x:c r="H9" s="13" t="str">
        <x:f>IF(G9&gt;=13,"Cao",IF(G9&gt;=7,"Trung bình","Thấp"))</x:f>
        <x:v>Trung bình</x:v>
      </x:c>
      <x:c r="I9" s="19" t="n">
        <x:v>0.7</x:v>
      </x:c>
      <x:c r="J9" s="17" t="n">
        <x:v>8</x:v>
      </x:c>
      <x:c r="K9" s="13" t="n">
        <x:f>IF(OR(NOT(ISNUMBER(I9)),NOT(ISNUMBER(J9))),"n.a.",I9*J9)</x:f>
        <x:v>5.6</x:v>
      </x:c>
      <x:c r="L9" s="9" t="str">
        <x:v>Chiến</x:v>
      </x:c>
      <x:c r="M9" s="9" t="str">
        <x:v>Phương pháp đo không lặp lại</x:v>
      </x:c>
      <x:c r="N9" s="9" t="str">
        <x:v>Thử đo bộ nhớ tiến trình; phần đo chuẩn đã nằm5.2.</x:v>
      </x:c>
      <x:c r="O9" s="9" t="str">
        <x:v>Theo dõi</x:v>
      </x:c>
      <x:c r="P9" s="9" t="str">
        <x:v>Ước lượng phán đoán; exposure chưa phải reserve được duyệt. Rủi ro đã biết/đo chuẩn nằmbase.</x:v>
      </x:c>
      <x:c r="Q9" s="9" t="str">
        <x:v>Không cộng reserve: đã nằm base hoặc trùng rủi ro chung. Exposure chỉ tham khảo.</x:v>
      </x:c>
    </x:row>
    <x:row r="10" ht="110" customHeight="1">
      <x:c r="A10" s="9" t="str">
        <x:v>R-A-03</x:v>
      </x:c>
      <x:c r="B10" s="9" t="str">
        <x:v>Mất mạng saureserve</x:v>
      </x:c>
      <x:c r="C10" s="9" t="str">
        <x:v>Complete thất bại</x:v>
      </x:c>
      <x:c r="D10" s="9" t="str">
        <x:v>Láchquota nếu vẫn giao file</x:v>
      </x:c>
      <x:c r="E10" s="20" t="n">
        <x:v>3</x:v>
      </x:c>
      <x:c r="F10" s="20" t="n">
        <x:v>3</x:v>
      </x:c>
      <x:c r="G10" s="21" t="n">
        <x:f>E10*F10</x:f>
        <x:v>9</x:v>
      </x:c>
      <x:c r="H10" s="13" t="str">
        <x:f>IF(G10&gt;=13,"Cao",IF(G10&gt;=7,"Trung bình","Thấp"))</x:f>
        <x:v>Trung bình</x:v>
      </x:c>
      <x:c r="I10" s="19" t="n">
        <x:v>0.5</x:v>
      </x:c>
      <x:c r="J10" s="17" t="n">
        <x:v>8</x:v>
      </x:c>
      <x:c r="K10" s="13" t="n">
        <x:f>IF(OR(NOT(ISNUMBER(I10)),NOT(ISNUMBER(J10))),"n.a.",I10*J10)</x:f>
        <x:v>4</x:v>
      </x:c>
      <x:c r="L10" s="9" t="str">
        <x:v>Việt Quang</x:v>
      </x:c>
      <x:c r="M10" s="9" t="str">
        <x:v>TC-A-20khôngđạt</x:v>
      </x:c>
      <x:c r="N10" s="9" t="str">
        <x:v>DEC-011; ISS-G-001 là lỗi đã biết, không cộng reserve lầnhai.</x:v>
      </x:c>
      <x:c r="O10" s="9" t="str">
        <x:v>Theo dõi</x:v>
      </x:c>
      <x:c r="P10" s="9" t="str">
        <x:v>Ước lượng phán đoán; exposure chưa phải reserve được duyệt. Rủi ro đã biết/đo chuẩn nằmbase.</x:v>
      </x:c>
      <x:c r="Q10" s="9" t="str">
        <x:v>Không cộng reserve: đã nằm base hoặc trùng rủi ro chung. Exposure chỉ tham khảo.</x:v>
      </x:c>
    </x:row>
    <x:row r="11" ht="110" customHeight="1">
      <x:c r="A11" s="9" t="str">
        <x:v>R-A-04</x:v>
      </x:c>
      <x:c r="B11" s="9" t="str">
        <x:v>Lệch ánh xạ lỗiAPI</x:v>
      </x:c>
      <x:c r="C11" s="9" t="str">
        <x:v>Thông báo sai</x:v>
      </x:c>
      <x:c r="D11" s="9" t="str">
        <x:v>Người dùng không biết lý do</x:v>
      </x:c>
      <x:c r="E11" s="20" t="n">
        <x:v>2</x:v>
      </x:c>
      <x:c r="F11" s="20" t="n">
        <x:v>2</x:v>
      </x:c>
      <x:c r="G11" s="21" t="n">
        <x:f>E11*F11</x:f>
        <x:v>4</x:v>
      </x:c>
      <x:c r="H11" s="13" t="str">
        <x:f>IF(G11&gt;=13,"Cao",IF(G11&gt;=7,"Trung bình","Thấp"))</x:f>
        <x:v>Thấp</x:v>
      </x:c>
      <x:c r="I11" s="19" t="n">
        <x:v>0.3</x:v>
      </x:c>
      <x:c r="J11" s="17" t="n">
        <x:v>4</x:v>
      </x:c>
      <x:c r="K11" s="13" t="n">
        <x:f>IF(OR(NOT(ISNUMBER(I11)),NOT(ISNUMBER(J11))),"n.a.",I11*J11)</x:f>
        <x:v>1.2</x:v>
      </x:c>
      <x:c r="L11" s="9" t="str">
        <x:v>Chiến</x:v>
      </x:c>
      <x:c r="M11" s="9" t="str">
        <x:v>TC-A-18fail</x:v>
      </x:c>
      <x:c r="N11" s="9" t="str">
        <x:v>Contract testHTTP và thông điệp; unit hiệnpass.</x:v>
      </x:c>
      <x:c r="O11" s="9" t="str">
        <x:v>Theo dõi</x:v>
      </x:c>
      <x:c r="P11" s="9" t="str">
        <x:v>Ước lượng phán đoán; exposure chưa phải reserve được duyệt. Rủi ro đã biết/đo chuẩn nằmbase.</x:v>
      </x:c>
      <x:c r="Q11" s="9" t="str">
        <x:v>Không cộng reserve: đã nằm base hoặc trùng rủi ro chung. Exposure chỉ tham khảo.</x:v>
      </x:c>
    </x:row>
    <x:row r="12" ht="110" customHeight="1">
      <x:c r="A12" s="9" t="str">
        <x:v>R-A-05</x:v>
      </x:c>
      <x:c r="B12" s="9" t="str">
        <x:v>Danh mục thay đổi khioffline</x:v>
      </x:c>
      <x:c r="C12" s="9" t="str">
        <x:v>Dùng mẫu cũ</x:v>
      </x:c>
      <x:c r="D12" s="9" t="str">
        <x:v>Sai trạng thái/phiên bản</x:v>
      </x:c>
      <x:c r="E12" s="20" t="n">
        <x:v>3</x:v>
      </x:c>
      <x:c r="F12" s="20" t="n">
        <x:v>3</x:v>
      </x:c>
      <x:c r="G12" s="21" t="n">
        <x:f>E12*F12</x:f>
        <x:v>9</x:v>
      </x:c>
      <x:c r="H12" s="13" t="str">
        <x:f>IF(G12&gt;=13,"Cao",IF(G12&gt;=7,"Trung bình","Thấp"))</x:f>
        <x:v>Trung bình</x:v>
      </x:c>
      <x:c r="I12" s="19" t="n">
        <x:v>0.5</x:v>
      </x:c>
      <x:c r="J12" s="17" t="n">
        <x:v>8</x:v>
      </x:c>
      <x:c r="K12" s="13" t="n">
        <x:f>IF(OR(NOT(ISNUMBER(I12)),NOT(ISNUMBER(J12))),"n.a.",I12*J12)</x:f>
        <x:v>4</x:v>
      </x:c>
      <x:c r="L12" s="9" t="str">
        <x:v>Chiến</x:v>
      </x:c>
      <x:c r="M12" s="9" t="str">
        <x:v>TC-I-04fail</x:v>
      </x:c>
      <x:c r="N12" s="9" t="str">
        <x:v>DEC-012; snapshot,nhãncache; ISS-G-002đã tính ởbase.</x:v>
      </x:c>
      <x:c r="O12" s="9" t="str">
        <x:v>Theo dõi</x:v>
      </x:c>
      <x:c r="P12" s="9" t="str">
        <x:v>Ước lượng phán đoán; exposure chưa phải reserve được duyệt. Rủi ro đã biết/đo chuẩn nằmbase.</x:v>
      </x:c>
      <x:c r="Q12" s="9" t="str">
        <x:v>Không cộng reserve: đã nằm base hoặc trùng rủi ro chung. Exposure chỉ tham khảo.</x:v>
      </x:c>
    </x:row>
    <x:row r="13" ht="110" customHeight="1">
      <x:c r="A13" s="9" t="str">
        <x:v>R-A-06</x:v>
      </x:c>
      <x:c r="B13" s="9" t="str">
        <x:v>Năng lực10h/người/tuần</x:v>
      </x:c>
      <x:c r="C13" s="9" t="str">
        <x:v>Quá tải tổng hợp</x:v>
      </x:c>
      <x:c r="D13" s="9" t="str">
        <x:v>TrượtDOCgate</x:v>
      </x:c>
      <x:c r="E13" s="20" t="n">
        <x:v>4</x:v>
      </x:c>
      <x:c r="F13" s="20" t="n">
        <x:v>4</x:v>
      </x:c>
      <x:c r="G13" s="21" t="n">
        <x:f>E13*F13</x:f>
        <x:v>16</x:v>
      </x:c>
      <x:c r="H13" s="13" t="str">
        <x:f>IF(G13&gt;=13,"Cao",IF(G13&gt;=7,"Trung bình","Thấp"))</x:f>
        <x:v>Cao</x:v>
      </x:c>
      <x:c r="I13" s="19" t="n">
        <x:v>0.7</x:v>
      </x:c>
      <x:c r="J13" s="17" t="n">
        <x:v>10</x:v>
      </x:c>
      <x:c r="K13" s="13" t="n">
        <x:f>IF(OR(NOT(ISNUMBER(I13)),NOT(ISNUMBER(J13))),"n.a.",I13*J13)</x:f>
        <x:v>7</x:v>
      </x:c>
      <x:c r="L13" s="9" t="str">
        <x:v>Chiến</x:v>
      </x:c>
      <x:c r="M13" s="9" t="str">
        <x:v>Nhu cầu &gt; năng lực kỳ</x:v>
      </x:c>
      <x:c r="N13" s="9" t="str">
        <x:v>Chia tổng hợpB/C; lịchsanbằng; giờ đã dự kiến không cộngthànhreserve.</x:v>
      </x:c>
      <x:c r="O13" s="9" t="str">
        <x:v>Theo dõi</x:v>
      </x:c>
      <x:c r="P13" s="9" t="str">
        <x:v>Ước lượng phán đoán; exposure chưa phải reserve được duyệt. Rủi ro đã biết/đo chuẩn nằmbase.</x:v>
      </x:c>
      <x:c r="Q13" s="9" t="str">
        <x:v>Không cộng reserve: đã nằm base hoặc trùng rủi ro chung. Exposure chỉ tham khảo.</x:v>
      </x:c>
    </x:row>
    <x:row r="14" ht="110" customHeight="1">
      <x:c r="A14" s="9" t="str">
        <x:v>R-A-07</x:v>
      </x:c>
      <x:c r="B14" s="9" t="str">
        <x:v>GPU/font khác nhau</x:v>
      </x:c>
      <x:c r="C14" s="9" t="str">
        <x:v>Checksum khác</x:v>
      </x:c>
      <x:c r="D14" s="9" t="str">
        <x:v>Không đạtOB-03</x:v>
      </x:c>
      <x:c r="E14" s="20" t="n">
        <x:v>3</x:v>
      </x:c>
      <x:c r="F14" s="20" t="n">
        <x:v>3</x:v>
      </x:c>
      <x:c r="G14" s="21" t="n">
        <x:f>E14*F14</x:f>
        <x:v>9</x:v>
      </x:c>
      <x:c r="H14" s="13" t="str">
        <x:f>IF(G14&gt;=13,"Cao",IF(G14&gt;=7,"Trung bình","Thấp"))</x:f>
        <x:v>Trung bình</x:v>
      </x:c>
      <x:c r="I14" s="19" t="n">
        <x:v>0.5</x:v>
      </x:c>
      <x:c r="J14" s="17" t="n">
        <x:v>8</x:v>
      </x:c>
      <x:c r="K14" s="13" t="n">
        <x:f>IF(OR(NOT(ISNUMBER(I14)),NOT(ISNUMBER(J14))),"n.a.",I14*J14)</x:f>
        <x:v>4</x:v>
      </x:c>
      <x:c r="L14" s="9" t="str">
        <x:v>Chiến</x:v>
      </x:c>
      <x:c r="M14" s="9" t="str">
        <x:v>Khác máy2</x:v>
      </x:c>
      <x:c r="N14" s="9" t="str">
        <x:v>Giữfontđónggói; đo3máy; CR nếu tiêu chí không khảthi.</x:v>
      </x:c>
      <x:c r="O14" s="9" t="str">
        <x:v>Theo dõi</x:v>
      </x:c>
      <x:c r="P14" s="9" t="str">
        <x:v>Ước lượng phán đoán; exposure chưa phải reserve được duyệt. Rủi ro đã biết/đo chuẩn nằmbase.</x:v>
      </x:c>
      <x:c r="Q14" s="9" t="str">
        <x:v>Không cộng reserve: đã nằm base hoặc trùng rủi ro chung. Exposure chỉ tham khảo.</x:v>
      </x:c>
    </x:row>
    <x:row r="15" ht="110" customHeight="1">
      <x:c r="A15" s="9" t="str">
        <x:v>R-A-08</x:v>
      </x:c>
      <x:c r="B15" s="9" t="str">
        <x:v>Tier2 thiếuOPFS</x:v>
      </x:c>
      <x:c r="C15" s="9" t="str">
        <x:v>Lỗi lưu hoặc tăngRAM</x:v>
      </x:c>
      <x:c r="D15" s="9" t="str">
        <x:v>Giảm khả năng xuất</x:v>
      </x:c>
      <x:c r="E15" s="20" t="n">
        <x:v>3</x:v>
      </x:c>
      <x:c r="F15" s="20" t="n">
        <x:v>2</x:v>
      </x:c>
      <x:c r="G15" s="21" t="n">
        <x:f>E15*F15</x:f>
        <x:v>6</x:v>
      </x:c>
      <x:c r="H15" s="13" t="str">
        <x:f>IF(G15&gt;=13,"Cao",IF(G15&gt;=7,"Trung bình","Thấp"))</x:f>
        <x:v>Thấp</x:v>
      </x:c>
      <x:c r="I15" s="19" t="n">
        <x:v>0.5</x:v>
      </x:c>
      <x:c r="J15" s="17" t="n">
        <x:v>4</x:v>
      </x:c>
      <x:c r="K15" s="13" t="n">
        <x:f>IF(OR(NOT(ISNUMBER(I15)),NOT(ISNUMBER(J15))),"n.a.",I15*J15)</x:f>
        <x:v>2</x:v>
      </x:c>
      <x:c r="L15" s="9" t="str">
        <x:v>Chiến</x:v>
      </x:c>
      <x:c r="M15" s="9" t="str">
        <x:v>Probe/storagefail</x:v>
      </x:c>
      <x:c r="N15" s="9" t="str">
        <x:v>Giới hạnTier2; filepickerfallback; đo trước côngbố.</x:v>
      </x:c>
      <x:c r="O15" s="9" t="str">
        <x:v>Theo dõi</x:v>
      </x:c>
      <x:c r="P15" s="9" t="str">
        <x:v>Ước lượng phán đoán; exposure chưa phải reserve được duyệt. Rủi ro đã biết/đo chuẩn nằmbase.</x:v>
      </x:c>
      <x:c r="Q15" s="9" t="str">
        <x:v>Không cộng reserve: đã nằm base hoặc trùng rủi ro chung. Exposure chỉ tham khảo.</x:v>
      </x:c>
    </x:row>
    <x:row r="16" ht="110" customHeight="1">
      <x:c r="A16" s="9" t="str">
        <x:v>R-A-09</x:v>
      </x:c>
      <x:c r="B16" s="9" t="str">
        <x:v>Không mượn được máy</x:v>
      </x:c>
      <x:c r="C16" s="9" t="str">
        <x:v>Không đủ ma trận</x:v>
      </x:c>
      <x:c r="D16" s="9" t="str">
        <x:v>Không nghiệmthuOB</x:v>
      </x:c>
      <x:c r="E16" s="20" t="n">
        <x:v>3</x:v>
      </x:c>
      <x:c r="F16" s="20" t="n">
        <x:v>3</x:v>
      </x:c>
      <x:c r="G16" s="21" t="n">
        <x:f>E16*F16</x:f>
        <x:v>9</x:v>
      </x:c>
      <x:c r="H16" s="13" t="str">
        <x:f>IF(G16&gt;=13,"Cao",IF(G16&gt;=7,"Trung bình","Thấp"))</x:f>
        <x:v>Trung bình</x:v>
      </x:c>
      <x:c r="I16" s="19" t="n">
        <x:v>0.5</x:v>
      </x:c>
      <x:c r="J16" s="17" t="n">
        <x:v>8</x:v>
      </x:c>
      <x:c r="K16" s="13" t="n">
        <x:f>IF(OR(NOT(ISNUMBER(I16)),NOT(ISNUMBER(J16))),"n.a.",I16*J16)</x:f>
        <x:v>4</x:v>
      </x:c>
      <x:c r="L16" s="9" t="str">
        <x:v>Chiến</x:v>
      </x:c>
      <x:c r="M16" s="9" t="str">
        <x:v>Thiếu máy trước5.2</x:v>
      </x:c>
      <x:c r="N16" s="9" t="str">
        <x:v>Chốt người cungcấp/máy; không thay bằng kếtluận từheadless.</x:v>
      </x:c>
      <x:c r="O16" s="9" t="str">
        <x:v>Theo dõi</x:v>
      </x:c>
      <x:c r="P16" s="9" t="str">
        <x:v>Ước lượng phán đoán; exposure chưa phải reserve được duyệt. Rủi ro đã biết/đo chuẩn nằmbase.</x:v>
      </x:c>
      <x:c r="Q16" s="9" t="str">
        <x:v>Không cộng reserve: đã nằm base hoặc trùng rủi ro chung. Exposure chỉ tham khảo.</x:v>
      </x:c>
    </x:row>
    <x:row r="17" ht="110" customHeight="1">
      <x:c r="A17" s="9" t="str">
        <x:v>R-A-10</x:v>
      </x:c>
      <x:c r="B17" s="9" t="str">
        <x:v>Xuất kéo dài quáTTL</x:v>
      </x:c>
      <x:c r="C17" s="9" t="str">
        <x:v>Complete409</x:v>
      </x:c>
      <x:c r="D17" s="9" t="str">
        <x:v>Không đóng lượt thànhcông</x:v>
      </x:c>
      <x:c r="E17" s="20" t="n">
        <x:v>2</x:v>
      </x:c>
      <x:c r="F17" s="20" t="n">
        <x:v>3</x:v>
      </x:c>
      <x:c r="G17" s="21" t="n">
        <x:f>E17*F17</x:f>
        <x:v>6</x:v>
      </x:c>
      <x:c r="H17" s="13" t="str">
        <x:f>IF(G17&gt;=13,"Cao",IF(G17&gt;=7,"Trung bình","Thấp"))</x:f>
        <x:v>Thấp</x:v>
      </x:c>
      <x:c r="I17" s="19" t="n">
        <x:v>0.3</x:v>
      </x:c>
      <x:c r="J17" s="17" t="n">
        <x:v>8</x:v>
      </x:c>
      <x:c r="K17" s="13" t="n">
        <x:f>IF(OR(NOT(ISNUMBER(I17)),NOT(ISNUMBER(J17))),"n.a.",I17*J17)</x:f>
        <x:v>2.4</x:v>
      </x:c>
      <x:c r="L17" s="9" t="str">
        <x:v>Việt Quang</x:v>
      </x:c>
      <x:c r="M17" s="9" t="str">
        <x:v>TC-A-36fail</x:v>
      </x:c>
      <x:c r="N17" s="9" t="str">
        <x:v>DEC-011; thiết kế đốisoát/xuất dài trong4.3.2.</x:v>
      </x:c>
      <x:c r="O17" s="9" t="str">
        <x:v>Theo dõi</x:v>
      </x:c>
      <x:c r="P17" s="9" t="str">
        <x:v>Ước lượng phán đoán; exposure chưa phải reserve được duyệt. Rủi ro đã biết/đo chuẩn nằmbase.</x:v>
      </x:c>
      <x:c r="Q17" s="9" t="str">
        <x:v>Không cộng reserve: đã nằm base hoặc trùng rủi ro chung. Exposure chỉ tham khảo.</x:v>
      </x:c>
    </x:row>
    <x:row r="18" ht="110" customHeight="1">
      <x:c r="A18" s="9" t="str">
        <x:v>R-A-11</x:v>
      </x:c>
      <x:c r="B18" s="9" t="str">
        <x:v>Đề nghị audio/AI/khungdọc</x:v>
      </x:c>
      <x:c r="C18" s="9" t="str">
        <x:v>Phình phạmvi</x:v>
      </x:c>
      <x:c r="D18" s="9" t="str">
        <x:v>Trượt lịch và chi phí</x:v>
      </x:c>
      <x:c r="E18" s="20" t="n">
        <x:v>3</x:v>
      </x:c>
      <x:c r="F18" s="20" t="n">
        <x:v>3</x:v>
      </x:c>
      <x:c r="G18" s="21" t="n">
        <x:f>E18*F18</x:f>
        <x:v>9</x:v>
      </x:c>
      <x:c r="H18" s="13" t="str">
        <x:f>IF(G18&gt;=13,"Cao",IF(G18&gt;=7,"Trung bình","Thấp"))</x:f>
        <x:v>Trung bình</x:v>
      </x:c>
      <x:c r="I18" s="19" t="n">
        <x:v>0.5</x:v>
      </x:c>
      <x:c r="J18" s="17" t="n">
        <x:v>8</x:v>
      </x:c>
      <x:c r="K18" s="13" t="n">
        <x:f>IF(OR(NOT(ISNUMBER(I18)),NOT(ISNUMBER(J18))),"n.a.",I18*J18)</x:f>
        <x:v>4</x:v>
      </x:c>
      <x:c r="L18" s="9" t="str">
        <x:v>Chiến</x:v>
      </x:c>
      <x:c r="M18" s="9" t="str">
        <x:v>REQmới ngoàiCharter</x:v>
      </x:c>
      <x:c r="N18" s="9" t="str">
        <x:v>Kiểm soát thay đổi; không đưa vào demo mặcđịnh.</x:v>
      </x:c>
      <x:c r="O18" s="9" t="str">
        <x:v>Theo dõi</x:v>
      </x:c>
      <x:c r="P18" s="9" t="str">
        <x:v>Ước lượng phán đoán; exposure chưa phải reserve được duyệt. Rủi ro đã biết/đo chuẩn nằmbase.</x:v>
      </x:c>
      <x:c r="Q18" s="9" t="str">
        <x:v>Không cộng reserve: đã nằm base hoặc trùng rủi ro chung. Exposure chỉ tham khảo.</x:v>
      </x:c>
    </x:row>
    <x:row r="19" ht="110" customHeight="1">
      <x:c r="A19" s="9" t="str">
        <x:v>R-B-01</x:v>
      </x:c>
      <x:c r="B19" s="9" t="str">
        <x:v>Nhà cung cấp chưa duyệt hồ sơ</x:v>
      </x:c>
      <x:c r="C19" s="9" t="str">
        <x:v>Adapter thật chậm sẵn sàng</x:v>
      </x:c>
      <x:c r="D19" s="9" t="str">
        <x:v>Trễ OB-15, phát sinh công chuẩn bị</x:v>
      </x:c>
      <x:c r="E19" s="20" t="n">
        <x:v>3</x:v>
      </x:c>
      <x:c r="F19" s="20" t="n">
        <x:v>4</x:v>
      </x:c>
      <x:c r="G19" s="21" t="n">
        <x:f>E19*F19</x:f>
        <x:v>12</x:v>
      </x:c>
      <x:c r="H19" s="13" t="str">
        <x:f>IF(G19&gt;=13,"Cao",IF(G19&gt;=7,"Trung bình","Thấp"))</x:f>
        <x:v>Trung bình</x:v>
      </x:c>
      <x:c r="I19" s="19" t="n">
        <x:v>0.5</x:v>
      </x:c>
      <x:c r="J19" s="17" t="n">
        <x:v>12</x:v>
      </x:c>
      <x:c r="K19" s="13" t="n">
        <x:f>IF(OR(NOT(ISNUMBER(I19)),NOT(ISNUMBER(J19))),"n.a.",I19*J19)</x:f>
        <x:v>6</x:v>
      </x:c>
      <x:c r="L19" s="9" t="str">
        <x:v>Nguyễn Việt Quang</x:v>
      </x:c>
      <x:c r="M19" s="9" t="str">
        <x:v>Cổng chưa sẵn sàng trước ACT-4.3.3-02</x:v>
      </x:c>
      <x:c r="N19" s="9" t="str">
        <x:v>Chuẩn bị hồ sơ; giữ demo giả lập; trình hoãn nghiệm thu OB-15 nếu cần, không thay bằng kích hoạt tay</x:v>
      </x:c>
      <x:c r="O19" s="9" t="str">
        <x:v>Đang theo dõi; xác suất và giờ là phán đoán lập kế hoạch 24/09</x:v>
      </x:c>
      <x:c r="P19" s="9" t="str">
        <x:v>Giả định kế hoạch; rà tại mỗi mốc</x:v>
      </x:c>
      <x:c r="Q19" s="9" t="str">
        <x:v>Theo dõi sau khi thực hiện ứng phó</x:v>
      </x:c>
    </x:row>
    <x:row r="20" ht="110" customHeight="1">
      <x:c r="A20" s="9" t="str">
        <x:v>R-B-02</x:v>
      </x:c>
      <x:c r="B20" s="9" t="str">
        <x:v>Retry và event đến đồng thời</x:v>
      </x:c>
      <x:c r="C20" s="9" t="str">
        <x:v>Giao dịch cấp kỳ nhiều lần</x:v>
      </x:c>
      <x:c r="D20" s="9" t="str">
        <x:v>Sửa dữ liệu và khôi phục quyền</x:v>
      </x:c>
      <x:c r="E20" s="20" t="n">
        <x:v>2</x:v>
      </x:c>
      <x:c r="F20" s="20" t="n">
        <x:v>4</x:v>
      </x:c>
      <x:c r="G20" s="21" t="n">
        <x:f>E20*F20</x:f>
        <x:v>8</x:v>
      </x:c>
      <x:c r="H20" s="13" t="str">
        <x:f>IF(G20&gt;=13,"Cao",IF(G20&gt;=7,"Trung bình","Thấp"))</x:f>
        <x:v>Trung bình</x:v>
      </x:c>
      <x:c r="I20" s="19" t="n">
        <x:v>0.3</x:v>
      </x:c>
      <x:c r="J20" s="17" t="n">
        <x:v>12</x:v>
      </x:c>
      <x:c r="K20" s="13" t="n">
        <x:f>IF(OR(NOT(ISNUMBER(I20)),NOT(ISNUMBER(J20))),"n.a.",I20*J20)</x:f>
        <x:v>3.5999999999999996</x:v>
      </x:c>
      <x:c r="L20" s="9" t="str">
        <x:v>Nguyễn Việt Quang</x:v>
      </x:c>
      <x:c r="M20" s="9" t="str">
        <x:v>Hai lần cấp kỳ cho cùng thao tác thanh toán</x:v>
      </x:c>
      <x:c r="N20" s="9" t="str">
        <x:v>Unique event và operation key; phần sửa ISS-G-003 đã ở WP; reserve chỉ cho lỗi còn lại sau sửa</x:v>
      </x:c>
      <x:c r="O20" s="9" t="str">
        <x:v>Đang theo dõi; xác suất và giờ là phán đoán lập kế hoạch 24/09</x:v>
      </x:c>
      <x:c r="P20" s="9" t="str">
        <x:v>Giả định kế hoạch; rà tại mỗi mốc</x:v>
      </x:c>
      <x:c r="Q20" s="9" t="str">
        <x:v>Theo dõi sau khi thực hiện ứng phó</x:v>
      </x:c>
    </x:row>
    <x:row r="21" ht="110" customHeight="1">
      <x:c r="A21" s="9" t="str">
        <x:v>R-B-03</x:v>
      </x:c>
      <x:c r="B21" s="9" t="str">
        <x:v>Cạnh tranh cập nhật UsagePeriod</x:v>
      </x:c>
      <x:c r="C21" s="9" t="str">
        <x:v>Reserve vượt quota</x:v>
      </x:c>
      <x:c r="D21" s="9" t="str">
        <x:v>Sai hạn mức và cần đối soát dữ liệu</x:v>
      </x:c>
      <x:c r="E21" s="20" t="n">
        <x:v>2</x:v>
      </x:c>
      <x:c r="F21" s="20" t="n">
        <x:v>3</x:v>
      </x:c>
      <x:c r="G21" s="21" t="n">
        <x:f>E21*F21</x:f>
        <x:v>6</x:v>
      </x:c>
      <x:c r="H21" s="13" t="str">
        <x:f>IF(G21&gt;=13,"Cao",IF(G21&gt;=7,"Trung bình","Thấp"))</x:f>
        <x:v>Thấp</x:v>
      </x:c>
      <x:c r="I21" s="19" t="n">
        <x:v>0.3</x:v>
      </x:c>
      <x:c r="J21" s="17" t="n">
        <x:v>8</x:v>
      </x:c>
      <x:c r="K21" s="13" t="n">
        <x:f>IF(OR(NOT(ISNUMBER(I21)),NOT(ISNUMBER(J21))),"n.a.",I21*J21)</x:f>
        <x:v>2.4</x:v>
      </x:c>
      <x:c r="L21" s="9" t="str">
        <x:v>Nguyễn Việt Quang</x:v>
      </x:c>
      <x:c r="M21" s="9" t="str">
        <x:v>Consumed vượt quota hoặc lỗi race không xử lý</x:v>
      </x:c>
      <x:c r="N21" s="9" t="str">
        <x:v>xmin và retry; test trong WP; contingency dùng cho lỗi mới sau biện pháp phòng ngừa</x:v>
      </x:c>
      <x:c r="O21" s="9" t="str">
        <x:v>Đang theo dõi; xác suất và giờ là phán đoán lập kế hoạch 24/09</x:v>
      </x:c>
      <x:c r="P21" s="9" t="str">
        <x:v>Giả định kế hoạch; rà tại mỗi mốc</x:v>
      </x:c>
      <x:c r="Q21" s="9" t="str">
        <x:v>Theo dõi sau khi thực hiện ứng phó</x:v>
      </x:c>
    </x:row>
    <x:row r="22" ht="110" customHeight="1">
      <x:c r="A22" s="9" t="str">
        <x:v>R-B-04</x:v>
      </x:c>
      <x:c r="B22" s="9" t="str">
        <x:v>Đua trạng thái sau khi sửa hợp đồng A–B</x:v>
      </x:c>
      <x:c r="C22" s="9" t="str">
        <x:v>Cancel/complete/sweep hoàn sai lượt</x:v>
      </x:c>
      <x:c r="D22" s="9" t="str">
        <x:v>Sai hạn mức, phát sinh công sửa</x:v>
      </x:c>
      <x:c r="E22" s="20" t="n">
        <x:v>3</x:v>
      </x:c>
      <x:c r="F22" s="20" t="n">
        <x:v>4</x:v>
      </x:c>
      <x:c r="G22" s="21" t="n">
        <x:f>E22*F22</x:f>
        <x:v>12</x:v>
      </x:c>
      <x:c r="H22" s="13" t="str">
        <x:f>IF(G22&gt;=13,"Cao",IF(G22&gt;=7,"Trung bình","Thấp"))</x:f>
        <x:v>Trung bình</x:v>
      </x:c>
      <x:c r="I22" s="19" t="n">
        <x:v>0.5</x:v>
      </x:c>
      <x:c r="J22" s="17" t="n">
        <x:v>16</x:v>
      </x:c>
      <x:c r="K22" s="13" t="n">
        <x:f>IF(OR(NOT(ISNUMBER(I22)),NOT(ISNUMBER(J22))),"n.a.",I22*J22)</x:f>
        <x:v>8</x:v>
      </x:c>
      <x:c r="L22" s="9" t="str">
        <x:v>Nguyễn Việt Quang</x:v>
      </x:c>
      <x:c r="M22" s="9" t="str">
        <x:v>Test trạng thái cuối không khớp bộ đếm sau khi đã sửa ISS-G-001</x:v>
      </x:c>
      <x:c r="N22" s="9" t="str">
        <x:v>Sửa ISS-G-001 nằm trong gói hiện hành; reserve này chỉ cho sai lệch chưa biết còn lại, không tính hai lần</x:v>
      </x:c>
      <x:c r="O22" s="9" t="str">
        <x:v>Đang theo dõi; xác suất và giờ là phán đoán lập kế hoạch 24/09</x:v>
      </x:c>
      <x:c r="P22" s="9" t="str">
        <x:v>Giả định kế hoạch; rà tại mỗi mốc</x:v>
      </x:c>
      <x:c r="Q22" s="9" t="str">
        <x:v>Theo dõi sau khi thực hiện ứng phó</x:v>
      </x:c>
    </x:row>
    <x:row r="23" ht="110" customHeight="1">
      <x:c r="A23" s="9" t="str">
        <x:v>R-B-05</x:v>
      </x:c>
      <x:c r="B23" s="9" t="str">
        <x:v>Nhầm kỳ UTC hoặc hết hạn paid</x:v>
      </x:c>
      <x:c r="C23" s="9" t="str">
        <x:v>Reset hoặc hoàn sai tháng</x:v>
      </x:c>
      <x:c r="D23" s="9" t="str">
        <x:v>Người dùng mất hoặc được thêm lượt sai</x:v>
      </x:c>
      <x:c r="E23" s="20" t="n">
        <x:v>2</x:v>
      </x:c>
      <x:c r="F23" s="20" t="n">
        <x:v>3</x:v>
      </x:c>
      <x:c r="G23" s="21" t="n">
        <x:f>E23*F23</x:f>
        <x:v>6</x:v>
      </x:c>
      <x:c r="H23" s="13" t="str">
        <x:f>IF(G23&gt;=13,"Cao",IF(G23&gt;=7,"Trung bình","Thấp"))</x:f>
        <x:v>Thấp</x:v>
      </x:c>
      <x:c r="I23" s="19" t="n">
        <x:v>0.3</x:v>
      </x:c>
      <x:c r="J23" s="17" t="n">
        <x:v>6</x:v>
      </x:c>
      <x:c r="K23" s="13" t="n">
        <x:f>IF(OR(NOT(ISNUMBER(I23)),NOT(ISNUMBER(J23))),"n.a.",I23*J23)</x:f>
        <x:v>1.7999999999999998</x:v>
      </x:c>
      <x:c r="L23" s="9" t="str">
        <x:v>Nguyễn Việt Quang</x:v>
      </x:c>
      <x:c r="M23" s="9" t="str">
        <x:v>TC-B-97/98 thất bại hoặc phát hiện kỳ sai</x:v>
      </x:c>
      <x:c r="N23" s="9" t="str">
        <x:v>UTC và UsagePeriodId gốc; test nằm trong WP; contingency dùng cho sai lệch mới</x:v>
      </x:c>
      <x:c r="O23" s="9" t="str">
        <x:v>Đang theo dõi; xác suất và giờ là phán đoán lập kế hoạch 24/09</x:v>
      </x:c>
      <x:c r="P23" s="9" t="str">
        <x:v>Giả định kế hoạch; rà tại mỗi mốc</x:v>
      </x:c>
      <x:c r="Q23" s="9" t="str">
        <x:v>Theo dõi sau khi thực hiện ứng phó</x:v>
      </x:c>
    </x:row>
    <x:row r="24" ht="110" customHeight="1">
      <x:c r="A24" s="9" t="str">
        <x:v>R-B-06</x:v>
      </x:c>
      <x:c r="B24" s="9" t="str">
        <x:v>Cấu hình môi trường sai</x:v>
      </x:c>
      <x:c r="C24" s="9" t="str">
        <x:v>Giả lập mở trong Production</x:v>
      </x:c>
      <x:c r="D24" s="9" t="str">
        <x:v>Phải dừng phát hành và sửa cấu hình</x:v>
      </x:c>
      <x:c r="E24" s="20" t="n">
        <x:v>1</x:v>
      </x:c>
      <x:c r="F24" s="20" t="n">
        <x:v>4</x:v>
      </x:c>
      <x:c r="G24" s="21" t="n">
        <x:f>E24*F24</x:f>
        <x:v>4</x:v>
      </x:c>
      <x:c r="H24" s="13" t="str">
        <x:f>IF(G24&gt;=13,"Cao",IF(G24&gt;=7,"Trung bình","Thấp"))</x:f>
        <x:v>Thấp</x:v>
      </x:c>
      <x:c r="I24" s="19" t="n">
        <x:v>0.1</x:v>
      </x:c>
      <x:c r="J24" s="17" t="n">
        <x:v>16</x:v>
      </x:c>
      <x:c r="K24" s="13" t="n">
        <x:f>IF(OR(NOT(ISNUMBER(I24)),NOT(ISNUMBER(J24))),"n.a.",I24*J24)</x:f>
        <x:v>1.6</x:v>
      </x:c>
      <x:c r="L24" s="9" t="str">
        <x:v>Nguyễn Việt Quang</x:v>
      </x:c>
      <x:c r="M24" s="9" t="str">
        <x:v>Route fake hoặc DI còn đăng ký tại Production</x:v>
      </x:c>
      <x:c r="N24" s="9" t="str">
        <x:v>Không đăng ký/map Production; kiểm gate triển khai; không cho Admin bỏ qua</x:v>
      </x:c>
      <x:c r="O24" s="9" t="str">
        <x:v>Đang theo dõi; xác suất và giờ là phán đoán lập kế hoạch 24/09</x:v>
      </x:c>
      <x:c r="P24" s="9" t="str">
        <x:v>Giả định kế hoạch; rà tại mỗi mốc</x:v>
      </x:c>
      <x:c r="Q24" s="9" t="str">
        <x:v>Theo dõi sau khi thực hiện ứng phó</x:v>
      </x:c>
    </x:row>
    <x:row r="25" ht="110" customHeight="1">
      <x:c r="A25" s="9" t="str">
        <x:v>R-B-07</x:v>
      </x:c>
      <x:c r="B25" s="9" t="str">
        <x:v>Quy tắc gói thay đổi sau chốt</x:v>
      </x:c>
      <x:c r="C25" s="9" t="str">
        <x:v>Phạm vi và ước lượng tăng</x:v>
      </x:c>
      <x:c r="D25" s="9" t="str">
        <x:v>Trễ lịch và tăng ngân sách</x:v>
      </x:c>
      <x:c r="E25" s="20" t="n">
        <x:v>2</x:v>
      </x:c>
      <x:c r="F25" s="20" t="n">
        <x:v>3</x:v>
      </x:c>
      <x:c r="G25" s="21" t="n">
        <x:f>E25*F25</x:f>
        <x:v>6</x:v>
      </x:c>
      <x:c r="H25" s="13" t="str">
        <x:f>IF(G25&gt;=13,"Cao",IF(G25&gt;=7,"Trung bình","Thấp"))</x:f>
        <x:v>Thấp</x:v>
      </x:c>
      <x:c r="I25" s="19" t="n">
        <x:v>0.3</x:v>
      </x:c>
      <x:c r="J25" s="17" t="n">
        <x:v>8</x:v>
      </x:c>
      <x:c r="K25" s="13" t="n">
        <x:f>IF(OR(NOT(ISNUMBER(I25)),NOT(ISNUMBER(J25))),"n.a.",I25*J25)</x:f>
        <x:v>2.4</x:v>
      </x:c>
      <x:c r="L25" s="9" t="str">
        <x:v>Nguyễn Việt Quang</x:v>
      </x:c>
      <x:c r="M25" s="9" t="str">
        <x:v>Yêu cầu thay giá, quota, chỗ hoặc dữ liệu hóa đơn</x:v>
      </x:c>
      <x:c r="N25" s="9" t="str">
        <x:v>Ghi Change Log; đánh giá phạm vi/lịch/chi phí; trình đúng thẩm quyền</x:v>
      </x:c>
      <x:c r="O25" s="9" t="str">
        <x:v>Đang theo dõi; xác suất và giờ là phán đoán lập kế hoạch 24/09</x:v>
      </x:c>
      <x:c r="P25" s="9" t="str">
        <x:v>Giả định kế hoạch; rà tại mỗi mốc</x:v>
      </x:c>
      <x:c r="Q25" s="9" t="str">
        <x:v>Theo dõi sau khi thực hiện ứng phó</x:v>
      </x:c>
    </x:row>
    <x:row r="26" ht="110" customHeight="1">
      <x:c r="A26" s="9" t="str">
        <x:v>R-B-08</x:v>
      </x:c>
      <x:c r="B26" s="9" t="str">
        <x:v>Trường dữ liệu nhạy cảm lọt vào log</x:v>
      </x:c>
      <x:c r="C26" s="9" t="str">
        <x:v>Telemetry chứa dữ liệu thừa</x:v>
      </x:c>
      <x:c r="D26" s="9" t="str">
        <x:v>Phát sinh công xử lý và sửa</x:v>
      </x:c>
      <x:c r="E26" s="20" t="n">
        <x:v>2</x:v>
      </x:c>
      <x:c r="F26" s="20" t="n">
        <x:v>4</x:v>
      </x:c>
      <x:c r="G26" s="21" t="n">
        <x:f>E26*F26</x:f>
        <x:v>8</x:v>
      </x:c>
      <x:c r="H26" s="13" t="str">
        <x:f>IF(G26&gt;=13,"Cao",IF(G26&gt;=7,"Trung bình","Thấp"))</x:f>
        <x:v>Trung bình</x:v>
      </x:c>
      <x:c r="I26" s="19" t="n">
        <x:v>0.3</x:v>
      </x:c>
      <x:c r="J26" s="17" t="n">
        <x:v>12</x:v>
      </x:c>
      <x:c r="K26" s="13" t="n">
        <x:f>IF(OR(NOT(ISNUMBER(I26)),NOT(ISNUMBER(J26))),"n.a.",I26*J26)</x:f>
        <x:v>3.5999999999999996</x:v>
      </x:c>
      <x:c r="L26" s="9" t="str">
        <x:v>Nguyễn Việt Quang</x:v>
      </x:c>
      <x:c r="M26" s="9" t="str">
        <x:v>Log có email/password/key/nội dung</x:v>
      </x:c>
      <x:c r="N26" s="9" t="str">
        <x:v>Allowlist và test redaction đã ở WP; reserve dành cho phát sinh sau phòng ngừa</x:v>
      </x:c>
      <x:c r="O26" s="9" t="str">
        <x:v>Đang theo dõi; xác suất và giờ là phán đoán lập kế hoạch 24/09</x:v>
      </x:c>
      <x:c r="P26" s="9" t="str">
        <x:v>Giả định kế hoạch; rà tại mỗi mốc</x:v>
      </x:c>
      <x:c r="Q26" s="9" t="str">
        <x:v>Theo dõi sau khi thực hiện ứng phó</x:v>
      </x:c>
    </x:row>
    <x:row r="27" ht="110" customHeight="1">
      <x:c r="A27" s="9" t="str">
        <x:v>R-B-09</x:v>
      </x:c>
      <x:c r="B27" s="9" t="str">
        <x:v>Công suất 10 giờ/tuần chia cho nhiều việc</x:v>
      </x:c>
      <x:c r="C27" s="9" t="str">
        <x:v>Review B hoặc ghép kế hoạch chậm</x:v>
      </x:c>
      <x:c r="D27" s="9" t="str">
        <x:v>Chậm bàn giao và tăng công điều phối</x:v>
      </x:c>
      <x:c r="E27" s="20" t="n">
        <x:v>3</x:v>
      </x:c>
      <x:c r="F27" s="20" t="n">
        <x:v>3</x:v>
      </x:c>
      <x:c r="G27" s="21" t="n">
        <x:f>E27*F27</x:f>
        <x:v>9</x:v>
      </x:c>
      <x:c r="H27" s="13" t="str">
        <x:f>IF(G27&gt;=13,"Cao",IF(G27&gt;=7,"Trung bình","Thấp"))</x:f>
        <x:v>Trung bình</x:v>
      </x:c>
      <x:c r="I27" s="19" t="n">
        <x:v>0.5</x:v>
      </x:c>
      <x:c r="J27" s="17" t="n">
        <x:v>8</x:v>
      </x:c>
      <x:c r="K27" s="13" t="n">
        <x:f>IF(OR(NOT(ISNUMBER(I27)),NOT(ISNUMBER(J27))),"n.a.",I27*J27)</x:f>
        <x:v>4</x:v>
      </x:c>
      <x:c r="L27" s="9" t="str">
        <x:v>Nguyễn Việt Quang</x:v>
      </x:c>
      <x:c r="M27" s="9" t="str">
        <x:v>Đầu vào trễ hơn 1 ngày làm việc hoặc vượt 10 giờ/tuần</x:v>
      </x:c>
      <x:c r="N27" s="9" t="str">
        <x:v>Chiến điều phối, ưu tiên tích hợp; không coi 29/09 là hạn hoàn tất toàn sản phẩm</x:v>
      </x:c>
      <x:c r="O27" s="9" t="str">
        <x:v>Đang theo dõi; xác suất và giờ là phán đoán lập kế hoạch 24/09</x:v>
      </x:c>
      <x:c r="P27" s="9" t="str">
        <x:v>Giả định kế hoạch; rà tại mỗi mốc</x:v>
      </x:c>
      <x:c r="Q27" s="9" t="str">
        <x:v>Theo dõi sau khi thực hiện ứng phó</x:v>
      </x:c>
    </x:row>
    <x:row r="28" ht="110" customHeight="1">
      <x:c r="A28" s="9" t="str">
        <x:v>R-C-01</x:v>
      </x:c>
      <x:c r="B28" s="9" t="str">
        <x:v>Manifest catalog khác schema frontend</x:v>
      </x:c>
      <x:c r="C28" s="9" t="str">
        <x:v>Publish mẫu không tương thích</x:v>
      </x:c>
      <x:c r="D28" s="9" t="str">
        <x:v>Sửa contract và hồi quy</x:v>
      </x:c>
      <x:c r="E28" s="20" t="n">
        <x:v>3</x:v>
      </x:c>
      <x:c r="F28" s="20" t="n">
        <x:v>3</x:v>
      </x:c>
      <x:c r="G28" s="21" t="n">
        <x:f>E28*F28</x:f>
        <x:v>9</x:v>
      </x:c>
      <x:c r="H28" s="13" t="str">
        <x:f>IF(G28&gt;=13,"Cao",IF(G28&gt;=7,"Trung bình","Thấp"))</x:f>
        <x:v>Trung bình</x:v>
      </x:c>
      <x:c r="I28" s="19" t="n">
        <x:v>0.5</x:v>
      </x:c>
      <x:c r="J28" s="17" t="n">
        <x:v>8</x:v>
      </x:c>
      <x:c r="K28" s="13" t="n">
        <x:f>IF(OR(NOT(ISNUMBER(I28)),NOT(ISNUMBER(J28))),"n.a.",I28*J28)</x:f>
        <x:v>4</x:v>
      </x:c>
      <x:c r="L28" s="9" t="str">
        <x:v>Phạm Quang Anh</x:v>
      </x:c>
      <x:c r="M28" s="9" t="str">
        <x:v>Key/version không hỗ trợ hoặc TC-C-05 fail</x:v>
      </x:c>
      <x:c r="N28" s="9" t="str">
        <x:v>Validator/adapter; dừng publish bản lỗi; giữ phiên bản tương thích; C+A rà</x:v>
      </x:c>
      <x:c r="O28" s="9" t="str">
        <x:v>Open</x:v>
      </x:c>
      <x:c r="P28" s="9" t="str">
        <x:v>Giả định kế hoạch; rà tại mỗi mốc</x:v>
      </x:c>
      <x:c r="Q28" s="9" t="str">
        <x:v>Theo dõi sau khi thực hiện ứng phó</x:v>
      </x:c>
    </x:row>
    <x:row r="29" ht="110" customHeight="1">
      <x:c r="A29" s="9" t="str">
        <x:v>R-C-02</x:v>
      </x:c>
      <x:c r="B29" s="9" t="str">
        <x:v>Bù lượt lặp hoặc audit tách quota</x:v>
      </x:c>
      <x:c r="C29" s="9" t="str">
        <x:v>UsagePeriod sai</x:v>
      </x:c>
      <x:c r="D29" s="9" t="str">
        <x:v>Đối soát và sửa số lượt</x:v>
      </x:c>
      <x:c r="E29" s="20" t="n">
        <x:v>2</x:v>
      </x:c>
      <x:c r="F29" s="20" t="n">
        <x:v>4</x:v>
      </x:c>
      <x:c r="G29" s="21" t="n">
        <x:f>E29*F29</x:f>
        <x:v>8</x:v>
      </x:c>
      <x:c r="H29" s="13" t="str">
        <x:f>IF(G29&gt;=13,"Cao",IF(G29&gt;=7,"Trung bình","Thấp"))</x:f>
        <x:v>Trung bình</x:v>
      </x:c>
      <x:c r="I29" s="19" t="n">
        <x:v>0.3</x:v>
      </x:c>
      <x:c r="J29" s="17" t="n">
        <x:v>12</x:v>
      </x:c>
      <x:c r="K29" s="13" t="n">
        <x:f>IF(OR(NOT(ISNUMBER(I29)),NOT(ISNUMBER(J29))),"n.a.",I29*J29)</x:f>
        <x:v>3.5999999999999996</x:v>
      </x:c>
      <x:c r="L29" s="9" t="str">
        <x:v>Nguyễn Việt Quang</x:v>
      </x:c>
      <x:c r="M29" s="9" t="str">
        <x:v>Retry đổi kết quả hoặc thiếu audit</x:v>
      </x:c>
      <x:c r="N29" s="9" t="str">
        <x:v>Transaction/idempotency B; dừng adjustment; đối soát ledger rồi test lại. Reserve hạch toán một lần ở C, không cộng lại ở B.</x:v>
      </x:c>
      <x:c r="O29" s="9" t="str">
        <x:v>Open</x:v>
      </x:c>
      <x:c r="P29" s="9" t="str">
        <x:v>Giả định kế hoạch; rà tại mỗi mốc</x:v>
      </x:c>
      <x:c r="Q29" s="9" t="str">
        <x:v>Theo dõi sau khi thực hiện ứng phó</x:v>
      </x:c>
    </x:row>
    <x:row r="30" ht="110" customHeight="1">
      <x:c r="A30" s="9" t="str">
        <x:v>R-C-03</x:v>
      </x:c>
      <x:c r="B30" s="9" t="str">
        <x:v>File sai hoặc không giới hạn</x:v>
      </x:c>
      <x:c r="C30" s="9" t="str">
        <x:v>Upload làm lỗi bộ nhớ/tham chiếu</x:v>
      </x:c>
      <x:c r="D30" s="9" t="str">
        <x:v>Sửa upload và phục hồi asset</x:v>
      </x:c>
      <x:c r="E30" s="20" t="n">
        <x:v>2</x:v>
      </x:c>
      <x:c r="F30" s="20" t="n">
        <x:v>2</x:v>
      </x:c>
      <x:c r="G30" s="21" t="n">
        <x:f>E30*F30</x:f>
        <x:v>4</x:v>
      </x:c>
      <x:c r="H30" s="13" t="str">
        <x:f>IF(G30&gt;=13,"Cao",IF(G30&gt;=7,"Trung bình","Thấp"))</x:f>
        <x:v>Thấp</x:v>
      </x:c>
      <x:c r="I30" s="19" t="n">
        <x:v>0.3</x:v>
      </x:c>
      <x:c r="J30" s="17" t="n">
        <x:v>4</x:v>
      </x:c>
      <x:c r="K30" s="13" t="n">
        <x:f>IF(OR(NOT(ISNUMBER(I30)),NOT(ISNUMBER(J30))),"n.a.",I30*J30)</x:f>
        <x:v>1.2</x:v>
      </x:c>
      <x:c r="L30" s="9" t="str">
        <x:v>Phạm Quang Anh</x:v>
      </x:c>
      <x:c r="M30" s="9" t="str">
        <x:v>File trên50MiB được nhận, sai magic bytes hoặc tham chiếu mất</x:v>
      </x:c>
      <x:c r="N30" s="9" t="str">
        <x:v>Validate server/staging; dừng endpoint lỗi, phục hồi asset trước</x:v>
      </x:c>
      <x:c r="O30" s="9" t="str">
        <x:v>Open</x:v>
      </x:c>
      <x:c r="P30" s="9" t="str">
        <x:v>Giả định kế hoạch; rà tại mỗi mốc</x:v>
      </x:c>
      <x:c r="Q30" s="9" t="str">
        <x:v>Theo dõi sau khi thực hiện ứng phó</x:v>
      </x:c>
    </x:row>
    <x:row r="31" ht="110" customHeight="1">
      <x:c r="A31" s="9" t="str">
        <x:v>R-C-04</x:v>
      </x:c>
      <x:c r="B31" s="9" t="str">
        <x:v>Nguồn/kỳ đo không thống nhất</x:v>
      </x:c>
      <x:c r="C31" s="9" t="str">
        <x:v>Snapshot hay dữ liệu giả lập bị gọi là lợi ích đạt</x:v>
      </x:c>
      <x:c r="D31" s="9" t="str">
        <x:v>Sửa số liệu và báo cáo</x:v>
      </x:c>
      <x:c r="E31" s="20" t="n">
        <x:v>3</x:v>
      </x:c>
      <x:c r="F31" s="20" t="n">
        <x:v>3</x:v>
      </x:c>
      <x:c r="G31" s="21" t="n">
        <x:f>E31*F31</x:f>
        <x:v>9</x:v>
      </x:c>
      <x:c r="H31" s="13" t="str">
        <x:f>IF(G31&gt;=13,"Cao",IF(G31&gt;=7,"Trung bình","Thấp"))</x:f>
        <x:v>Trung bình</x:v>
      </x:c>
      <x:c r="I31" s="19" t="n">
        <x:v>0.5</x:v>
      </x:c>
      <x:c r="J31" s="17" t="n">
        <x:v>8</x:v>
      </x:c>
      <x:c r="K31" s="13" t="n">
        <x:f>IF(OR(NOT(ISNUMBER(I31)),NOT(ISNUMBER(J31))),"n.a.",I31*J31)</x:f>
        <x:v>4</x:v>
      </x:c>
      <x:c r="L31" s="9" t="str">
        <x:v>Phạm Quang Anh</x:v>
      </x:c>
      <x:c r="M31" s="9" t="str">
        <x:v>Count tổng lịch sử bị gọi là tháng; giả lập gọi doanh thu thực</x:v>
      </x:c>
      <x:c r="N31" s="9" t="str">
        <x:v>Data dictionary, đối chiếu fixture/BMP; báo cáo sửa và ghi dữ liệu thiếu</x:v>
      </x:c>
      <x:c r="O31" s="9" t="str">
        <x:v>Open</x:v>
      </x:c>
      <x:c r="P31" s="9" t="str">
        <x:v>Giả định kế hoạch; rà tại mỗi mốc</x:v>
      </x:c>
      <x:c r="Q31" s="9" t="str">
        <x:v>Theo dõi sau khi thực hiện ứng phó</x:v>
      </x:c>
    </x:row>
    <x:row r="32" ht="110" customHeight="1">
      <x:c r="A32" s="9" t="str">
        <x:v>R-C-05</x:v>
      </x:c>
      <x:c r="B32" s="9" t="str">
        <x:v>C kiêm mọi test và tổng hợp</x:v>
      </x:c>
      <x:c r="C32" s="9" t="str">
        <x:v>Vượt công suất</x:v>
      </x:c>
      <x:c r="D32" s="9" t="str">
        <x:v>Chậm gate hồ sơ</x:v>
      </x:c>
      <x:c r="E32" s="20" t="n">
        <x:v>4</x:v>
      </x:c>
      <x:c r="F32" s="20" t="n">
        <x:v>4</x:v>
      </x:c>
      <x:c r="G32" s="21" t="n">
        <x:f>E32*F32</x:f>
        <x:v>16</x:v>
      </x:c>
      <x:c r="H32" s="13" t="str">
        <x:f>IF(G32&gt;=13,"Cao",IF(G32&gt;=7,"Trung bình","Thấp"))</x:f>
        <x:v>Cao</x:v>
      </x:c>
      <x:c r="I32" s="19" t="n">
        <x:v>0.7</x:v>
      </x:c>
      <x:c r="J32" s="17" t="n">
        <x:v>12</x:v>
      </x:c>
      <x:c r="K32" s="13" t="n">
        <x:f>IF(OR(NOT(ISNUMBER(I32)),NOT(ISNUMBER(J32))),"n.a.",I32*J32)</x:f>
        <x:v>8.399999999999999</x:v>
      </x:c>
      <x:c r="L32" s="9" t="str">
        <x:v>Nguyễn Thế Chiến</x:v>
      </x:c>
      <x:c r="M32" s="9" t="str">
        <x:v>Remaining vượt giờ tuần; review chờ trên24h</x:v>
      </x:c>
      <x:c r="N32" s="9" t="str">
        <x:v>Vòng review DEC-002; Chiến cân lại thứ tự. Exposure8.4h vào reserve CHUNG, loại khỏi contingency C12.8h.</x:v>
      </x:c>
      <x:c r="O32" s="9" t="str">
        <x:v>Open</x:v>
      </x:c>
      <x:c r="P32" s="9" t="str">
        <x:v>Giả định kế hoạch; rà tại mỗi mốc</x:v>
      </x:c>
      <x:c r="Q32" s="9" t="str">
        <x:v>Không cộng reserve: đã nằm base hoặc trùng rủi ro chung. Exposure chỉ tham khảo.</x:v>
      </x:c>
    </x:row>
    <x:row r="35">
      <x:c r="I35" t="str">
        <x:v>Tổng exposure giờ</x:v>
      </x:c>
      <x:c r="K35" s="22" t="n">
        <x:f>SUM(K8:K32)</x:f>
        <x:v>98.79999999999998</x:v>
      </x:c>
      <x:c r="M35" t="str">
        <x:v>Tổng exposure không phải contingency. Xem loại trừ trùng tại P11.</x:v>
      </x:c>
    </x:row>
  </x:sheetData>
  <x:conditionalFormatting sqref="G8:H32">
    <x:cfRule type="expression" dxfId="0" priority="1">
      <x:formula>$G8&gt;=13</x:formula>
    </x:cfRule>
  </x:conditionalFormatting>
  <x:pageMargins left="0.7" right="0.7" top="0.75" bottom="0.75" header="0.3" footer="0.3"/>
</x:worksheet>
</file>