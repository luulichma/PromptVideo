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901476b834c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s" sheetId="1" r:id="Rf20831a1bf9347d1"/>
    <x:sheet xmlns:r="http://schemas.openxmlformats.org/officeDocument/2006/relationships" name="Reserves" sheetId="2" r:id="R9a095d51370e403c"/>
    <x:sheet xmlns:r="http://schemas.openxmlformats.org/officeDocument/2006/relationships" name="Time_Phased_Budget" sheetId="3" r:id="R63f80c734f6a4213"/>
    <x:sheet xmlns:r="http://schemas.openxmlformats.org/officeDocument/2006/relationships" name="Funding" sheetId="4" r:id="Rb0a30e3250ae4efe"/>
    <x:sheet xmlns:r="http://schemas.openxmlformats.org/officeDocument/2006/relationships" name="Procurement" sheetId="5" r:id="Rd2f361ca0feb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–&quot;"/>
    <x:numFmt numFmtId="201" formatCode="#,##0;(#,##0);&quot;–&quot;"/>
    <x:numFmt numFmtId="202" formatCode="0.0%"/>
    <x:numFmt numFmtId="203" formatCode="#,##0"/>
  </x:numFmts>
  <x:fonts count="6">
    <x:font>
      <x:sz val="11"/>
      <x:name val="Carlito"/>
    </x:font>
    <x:font>
      <x:sz val="10"/>
      <x:color rgb="FF172B45"/>
      <x:name val="Arial"/>
    </x:font>
    <x:font>
      <x:b/>
      <x:sz val="14"/>
      <x:color rgb="FF203B5E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E"/>
      </x:patternFill>
    </x:fill>
    <x:fill>
      <x:patternFill patternType="solid">
        <x:fgColor rgb="FFFFF2D5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  <x:dxf>
      <x:font>
        <x:b/>
        <x:color rgb="FFA52132"/>
      </x:font>
      <x:fill>
        <x:patternFill patternType="solid">
          <x:bgColor rgb="FFFC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d167ee1cf42e1" /><Relationship Type="http://schemas.openxmlformats.org/officeDocument/2006/relationships/theme" Target="/xl/theme/theme1.xml" Id="R3b6c4b64629e46ed" /><Relationship Type="http://schemas.openxmlformats.org/officeDocument/2006/relationships/sharedStrings" Target="/xl/sharedStrings.xml" Id="Rfcabc7cdc2a14371" /><Relationship Type="http://schemas.openxmlformats.org/officeDocument/2006/relationships/worksheet" Target="/xl/worksheets/sheet1.xml" Id="Rf20831a1bf9347d1" /><Relationship Type="http://schemas.openxmlformats.org/officeDocument/2006/relationships/worksheet" Target="/xl/worksheets/sheet2.xml" Id="R9a095d51370e403c" /><Relationship Type="http://schemas.openxmlformats.org/officeDocument/2006/relationships/worksheet" Target="/xl/worksheets/sheet3.xml" Id="R63f80c734f6a4213" /><Relationship Type="http://schemas.openxmlformats.org/officeDocument/2006/relationships/worksheet" Target="/xl/worksheets/sheet4.xml" Id="Rb0a30e3250ae4efe" /><Relationship Type="http://schemas.openxmlformats.org/officeDocument/2006/relationships/worksheet" Target="/xl/worksheets/sheet5.xml" Id="Rd2f361ca0feb41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333b26e6834b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Đường S forecast WP (VND)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Lũy kế chi phí cơ hội WP</c:v>
          </c:tx>
          <c:spPr>
            <a:ln xmlns:a="http://schemas.openxmlformats.org/drawingml/2006/main" w="19050">
              <a:solidFill>
                <a:srgbClr val="203B5E"/>
              </a:solidFill>
              <a:prstDash val="solid"/>
            </a:ln>
          </c:spPr>
          <c:marker>
            <c:symbol val="none"/>
          </c:marker>
          <c:cat>
            <c:strRef>
              <c:f>'Time_Phased_Budget'!$A$49:$A$79</c:f>
              <c:strCache>
                <c:ptCount val="0"/>
              </c:strCache>
            </c:strRef>
          </c:cat>
          <c:val>
            <c:numRef>
              <c:f>'Time_Phased_Budget'!$B$49:$B$79</c:f>
              <c:numCache>
                <c:formatCode>#,##0.00;(#,##0.00);"–"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47</xdr:row>
      <xdr:rowOff>0</xdr:rowOff>
    </xdr:from>
    <xdr:to>
      <xdr:col>11</xdr:col>
      <xdr:colOff>0</xdr:colOff>
      <xdr:row>66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333b26e6834ba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387a699c8474775" /></Relationships>
</file>

<file path=xl/worksheets/sheet1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5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23" hidden="0" customWidth="1"/>
    <x:col min="9" max="9" width="27" hidden="0" customWidth="1"/>
    <x:col min="10" max="10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P11 — Ngân sách công sức và chi phí cơ hội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Dự thảo 24/09/2026. Thiếu xác nhận độc lập hoặc nghiệm thu sản phẩm.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0" customHeight="1">
      <x:c r="A7" s="8" t="str">
        <x:v>WBS</x:v>
      </x:c>
      <x:c r="B7" s="8" t="str">
        <x:v>Tên gói</x:v>
      </x:c>
      <x:c r="C7" s="8" t="str">
        <x:v>WP/PP</x:v>
      </x:c>
      <x:c r="D7" s="8" t="str">
        <x:v>O giờ</x:v>
      </x:c>
      <x:c r="E7" s="8" t="str">
        <x:v>M giờ</x:v>
      </x:c>
      <x:c r="F7" s="8" t="str">
        <x:v>P giờ</x:v>
      </x:c>
      <x:c r="G7" s="8" t="str">
        <x:v>Ước lượng giờ</x:v>
      </x:c>
      <x:c r="H7" s="8" t="str">
        <x:v>Đơn giá VND/giờ</x:v>
      </x:c>
      <x:c r="I7" s="8" t="str">
        <x:v>Chi phí cơ hội VND</x:v>
      </x:c>
      <x:c r="J7" s="8" t="str">
        <x:v>Cơ sở</x:v>
      </x:c>
    </x:row>
    <x:row r="8" ht="90" customHeight="1">
      <x:c r="A8" s="9" t="str">
        <x:v>1.1</x:v>
      </x:c>
      <x:c r="B8" s="9" t="str">
        <x:v>Bộ hồ sơ khởi tạo</x:v>
      </x:c>
      <x:c r="C8" s="9" t="str">
        <x:v>WP</x:v>
      </x:c>
      <x:c r="D8" s="13" t="n">
        <x:v>18</x:v>
      </x:c>
      <x:c r="E8" s="13" t="n">
        <x:v>23</x:v>
      </x:c>
      <x:c r="F8" s="13" t="n">
        <x:v>28</x:v>
      </x:c>
      <x:c r="G8" s="10" t="n">
        <x:f>SUM(D8:F8)/3</x:f>
        <x:v>23</x:v>
      </x:c>
      <x:c r="H8" s="14" t="n">
        <x:v>80000</x:v>
      </x:c>
      <x:c r="I8" s="15" t="n">
        <x:f>G8*H8</x:f>
        <x:v>1840000</x:v>
      </x:c>
      <x:c r="J8" s="9" t="str">
        <x:v>Forecast23h của hồ sơ đã có; không suy ra giờ đã làm.</x:v>
      </x:c>
    </x:row>
    <x:row r="9" ht="90" customHeight="1">
      <x:c r="A9" s="9" t="str">
        <x:v>1.2</x:v>
      </x:c>
      <x:c r="B9" s="9" t="str">
        <x:v>Kế hoạch quản lý dự án</x:v>
      </x:c>
      <x:c r="C9" s="9" t="str">
        <x:v>WP</x:v>
      </x:c>
      <x:c r="D9" s="13" t="n">
        <x:v>20</x:v>
      </x:c>
      <x:c r="E9" s="13" t="n">
        <x:v>28</x:v>
      </x:c>
      <x:c r="F9" s="13" t="n">
        <x:v>36</x:v>
      </x:c>
      <x:c r="G9" s="10" t="n">
        <x:f>SUM(D9:F9)/3</x:f>
        <x:v>28</x:v>
      </x:c>
      <x:c r="H9" s="14" t="n">
        <x:v>80000</x:v>
      </x:c>
      <x:c r="I9" s="15" t="n">
        <x:f>G9*H9</x:f>
        <x:v>2240000</x:v>
      </x:c>
      <x:c r="J9" s="9" t="str">
        <x:v>Ghép PMP và kế hoạch thành phần; gồm QA tài liệu, RACI, rủi ro.</x:v>
      </x:c>
    </x:row>
    <x:row r="10" ht="90" customHeight="1">
      <x:c r="A10" s="9" t="str">
        <x:v>1.3</x:v>
      </x:c>
      <x:c r="B10" s="9" t="str">
        <x:v>Báo cáo theo dõi và kiểm soát</x:v>
      </x:c>
      <x:c r="C10" s="9" t="str">
        <x:v>WP</x:v>
      </x:c>
      <x:c r="D10" s="13" t="n">
        <x:v>12</x:v>
      </x:c>
      <x:c r="E10" s="13" t="n">
        <x:v>16</x:v>
      </x:c>
      <x:c r="F10" s="13" t="n">
        <x:v>20</x:v>
      </x:c>
      <x:c r="G10" s="10" t="n">
        <x:f>SUM(D10:F10)/3</x:f>
        <x:v>16</x:v>
      </x:c>
      <x:c r="H10" s="14" t="n">
        <x:v>80000</x:v>
      </x:c>
      <x:c r="I10" s="15" t="n">
        <x:f>G10*H10</x:f>
        <x:v>1280000</x:v>
      </x:c>
      <x:c r="J10" s="9" t="str">
        <x:v>PP cũ được mở thành WP: work log, issue/change, báo cáo, EVM có điều kiện.</x:v>
      </x:c>
    </x:row>
    <x:row r="11" ht="90" customHeight="1">
      <x:c r="A11" s="9" t="str">
        <x:v>2.1</x:v>
      </x:c>
      <x:c r="B11" s="9" t="str">
        <x:v>Đặc tả yêu cầu phần mềm</x:v>
      </x:c>
      <x:c r="C11" s="9" t="str">
        <x:v>WP</x:v>
      </x:c>
      <x:c r="D11" s="13" t="n">
        <x:v>8</x:v>
      </x:c>
      <x:c r="E11" s="13" t="n">
        <x:v>12</x:v>
      </x:c>
      <x:c r="F11" s="13" t="n">
        <x:v>16</x:v>
      </x:c>
      <x:c r="G11" s="10" t="n">
        <x:f>SUM(D11:F11)/3</x:f>
        <x:v>12</x:v>
      </x:c>
      <x:c r="H11" s="14" t="n">
        <x:v>80000</x:v>
      </x:c>
      <x:c r="I11" s="15" t="n">
        <x:f>G11*H11</x:f>
        <x:v>960000</x:v>
      </x:c>
      <x:c r="J11" s="9" t="str">
        <x:v>Hợp nhất yêu cầu ba module, tiêu chí và ngoại lệ.</x:v>
      </x:c>
    </x:row>
    <x:row r="12" ht="90" customHeight="1">
      <x:c r="A12" s="9" t="str">
        <x:v>2.2</x:v>
      </x:c>
      <x:c r="B12" s="9" t="str">
        <x:v>Ma trận truy vết yêu cầu</x:v>
      </x:c>
      <x:c r="C12" s="9" t="str">
        <x:v>WP</x:v>
      </x:c>
      <x:c r="D12" s="13" t="n">
        <x:v>6</x:v>
      </x:c>
      <x:c r="E12" s="13" t="n">
        <x:v>8</x:v>
      </x:c>
      <x:c r="F12" s="13" t="n">
        <x:v>10</x:v>
      </x:c>
      <x:c r="G12" s="10" t="n">
        <x:f>SUM(D12:F12)/3</x:f>
        <x:v>8</x:v>
      </x:c>
      <x:c r="H12" s="14" t="n">
        <x:v>80000</x:v>
      </x:c>
      <x:c r="I12" s="15" t="n">
        <x:f>G12*H12</x:f>
        <x:v>640000</x:v>
      </x:c>
      <x:c r="J12" s="9" t="str">
        <x:v>Ghép mã duy nhất; nối Charter, thiết kế, code, TC, trạng thái.</x:v>
      </x:c>
    </x:row>
    <x:row r="13" ht="90" customHeight="1">
      <x:c r="A13" s="9" t="str">
        <x:v>3.1</x:v>
      </x:c>
      <x:c r="B13" s="9" t="str">
        <x:v>Kiến trúc và nguyên mẫu mã hóa</x:v>
      </x:c>
      <x:c r="C13" s="9" t="str">
        <x:v>WP</x:v>
      </x:c>
      <x:c r="D13" s="13" t="n">
        <x:v>6</x:v>
      </x:c>
      <x:c r="E13" s="13" t="n">
        <x:v>10</x:v>
      </x:c>
      <x:c r="F13" s="13" t="n">
        <x:v>14</x:v>
      </x:c>
      <x:c r="G13" s="10" t="n">
        <x:f>SUM(D13:F13)/3</x:f>
        <x:v>10</x:v>
      </x:c>
      <x:c r="H13" s="14" t="n">
        <x:v>80000</x:v>
      </x:c>
      <x:c r="I13" s="15" t="n">
        <x:f>G13*H13</x:f>
        <x:v>800000</x:v>
      </x:c>
      <x:c r="J13" s="9" t="str">
        <x:v>Tách 6/10/14h nguyên mẫu khỏi gói xuất A cũ 20/28/48; phần còn lại 14/18/34, tổng không đổi.</x:v>
      </x:c>
    </x:row>
    <x:row r="14" ht="90" customHeight="1">
      <x:c r="A14" s="9" t="str">
        <x:v>3.2</x:v>
      </x:c>
      <x:c r="B14" s="9" t="str">
        <x:v>Đặc tả giao tiếp và schema dự án</x:v>
      </x:c>
      <x:c r="C14" s="9" t="str">
        <x:v>WP</x:v>
      </x:c>
      <x:c r="D14" s="13" t="n">
        <x:v>17</x:v>
      </x:c>
      <x:c r="E14" s="13" t="n">
        <x:v>22</x:v>
      </x:c>
      <x:c r="F14" s="13" t="n">
        <x:v>31</x:v>
      </x:c>
      <x:c r="G14" s="10" t="n">
        <x:f>SUM(D14:F14)/3</x:f>
        <x:v>23.333333333333332</x:v>
      </x:c>
      <x:c r="H14" s="14" t="n">
        <x:v>80000</x:v>
      </x:c>
      <x:c r="I14" s="15" t="n">
        <x:f>G14*H14</x:f>
        <x:v>1866666.6666666665</x:v>
      </x:c>
      <x:c r="J14" s="9" t="str">
        <x:v>Schema A cũ8/10/16 + giao tiếp chung9/12/15; tE23⅓h. Trong đó11⅓h thuộc A,12h dùng chung.</x:v>
      </x:c>
    </x:row>
    <x:row r="15" ht="90" customHeight="1">
      <x:c r="A15" s="9" t="str">
        <x:v>4.1</x:v>
      </x:c>
      <x:c r="B15" s="9" t="str">
        <x:v>Nền tảng mã nguồn và CI</x:v>
      </x:c>
      <x:c r="C15" s="9" t="str">
        <x:v>WP</x:v>
      </x:c>
      <x:c r="D15" s="13" t="n">
        <x:v>18</x:v>
      </x:c>
      <x:c r="E15" s="13" t="n">
        <x:v>24</x:v>
      </x:c>
      <x:c r="F15" s="13" t="n">
        <x:v>30</x:v>
      </x:c>
      <x:c r="G15" s="10" t="n">
        <x:f>SUM(D15:F15)/3</x:f>
        <x:v>24</x:v>
      </x:c>
      <x:c r="H15" s="14" t="n">
        <x:v>80000</x:v>
      </x:c>
      <x:c r="I15" s="15" t="n">
        <x:f>G15*H15</x:f>
        <x:v>1920000</x:v>
      </x:c>
      <x:c r="J15" s="9" t="str">
        <x:v>Repo, DB, CSRF, OpenAPI, CI, PWA; chuyển đầu mối B để chia tải, không đổi tổng24h.</x:v>
      </x:c>
    </x:row>
    <x:row r="16" ht="90" customHeight="1">
      <x:c r="A16" s="9" t="str">
        <x:v>4.2.1</x:v>
      </x:c>
      <x:c r="B16" s="9" t="str">
        <x:v>Trình soạn thảo nội dung</x:v>
      </x:c>
      <x:c r="C16" s="9" t="str">
        <x:v>WP</x:v>
      </x:c>
      <x:c r="D16" s="13" t="n">
        <x:v>20</x:v>
      </x:c>
      <x:c r="E16" s="13" t="n">
        <x:v>26</x:v>
      </x:c>
      <x:c r="F16" s="13" t="n">
        <x:v>40</x:v>
      </x:c>
      <x:c r="G16" s="10" t="n">
        <x:f>SUM(D16:F16)/3</x:f>
        <x:v>28.666666666666668</x:v>
      </x:c>
      <x:c r="H16" s="14" t="n">
        <x:v>80000</x:v>
      </x:c>
      <x:c r="I16" s="15" t="n">
        <x:f>G16*H16</x:f>
        <x:v>2293333.3333333335</x:v>
      </x:c>
      <x:c r="J16" s="9" t="str">
        <x:v>Biểu mẫu, ảnh EXIF, undo/redo, bàn phím và xử lý ảnh lỗi.</x:v>
      </x:c>
    </x:row>
    <x:row r="17" ht="90" customHeight="1">
      <x:c r="A17" s="9" t="str">
        <x:v>4.2.2</x:v>
      </x:c>
      <x:c r="B17" s="9" t="str">
        <x:v>Thư viện năm mẫu trình chiếu</x:v>
      </x:c>
      <x:c r="C17" s="9" t="str">
        <x:v>WP</x:v>
      </x:c>
      <x:c r="D17" s="13" t="n">
        <x:v>8</x:v>
      </x:c>
      <x:c r="E17" s="13" t="n">
        <x:v>12</x:v>
      </x:c>
      <x:c r="F17" s="13" t="n">
        <x:v>20</x:v>
      </x:c>
      <x:c r="G17" s="10" t="n">
        <x:f>SUM(D17:F17)/3</x:f>
        <x:v>13.333333333333334</x:v>
      </x:c>
      <x:c r="H17" s="14" t="n">
        <x:v>80000</x:v>
      </x:c>
      <x:c r="I17" s="15" t="n">
        <x:f>G17*H17</x:f>
        <x:v>1066666.6666666667</x:v>
      </x:c>
      <x:c r="J17" s="9" t="str">
        <x:v>Năm bộ bố cục/màu và khung vàng; biến động do sai khác render.</x:v>
      </x:c>
    </x:row>
    <x:row r="18" ht="90" customHeight="1">
      <x:c r="A18" s="9" t="str">
        <x:v>4.2.3</x:v>
      </x:c>
      <x:c r="B18" s="9" t="str">
        <x:v>Bộ dựng và xem trước</x:v>
      </x:c>
      <x:c r="C18" s="9" t="str">
        <x:v>WP</x:v>
      </x:c>
      <x:c r="D18" s="13" t="n">
        <x:v>16</x:v>
      </x:c>
      <x:c r="E18" s="13" t="n">
        <x:v>22</x:v>
      </x:c>
      <x:c r="F18" s="13" t="n">
        <x:v>36</x:v>
      </x:c>
      <x:c r="G18" s="10" t="n">
        <x:f>SUM(D18:F18)/3</x:f>
        <x:v>24.666666666666668</x:v>
      </x:c>
      <x:c r="H18" s="14" t="n">
        <x:v>80000</x:v>
      </x:c>
      <x:c r="I18" s="15" t="n">
        <x:f>G18*H18</x:f>
        <x:v>1973333.3333333335</x:v>
      </x:c>
      <x:c r="J18" s="9" t="str">
        <x:v>Renderer Canvas, xuống dòng tiếng Việt, parity; khác GPU/font.</x:v>
      </x:c>
    </x:row>
    <x:row r="19" ht="90" customHeight="1">
      <x:c r="A19" s="9" t="str">
        <x:v>4.2.4</x:v>
      </x:c>
      <x:c r="B19" s="9" t="str">
        <x:v>Bộ xuất MP4 theo luồng</x:v>
      </x:c>
      <x:c r="C19" s="9" t="str">
        <x:v>WP</x:v>
      </x:c>
      <x:c r="D19" s="13" t="n">
        <x:v>14</x:v>
      </x:c>
      <x:c r="E19" s="13" t="n">
        <x:v>18</x:v>
      </x:c>
      <x:c r="F19" s="13" t="n">
        <x:v>34</x:v>
      </x:c>
      <x:c r="G19" s="10" t="n">
        <x:f>SUM(D19:F19)/3</x:f>
        <x:v>22</x:v>
      </x:c>
      <x:c r="H19" s="14" t="n">
        <x:v>80000</x:v>
      </x:c>
      <x:c r="I19" s="15" t="n">
        <x:f>G19*H19</x:f>
        <x:v>1760000</x:v>
      </x:c>
      <x:c r="J19" s="9" t="str">
        <x:v>Worker, ba đường ghi, dọn tài nguyên, encoder/dung lượng; đã tách nguyên mẫu sang3.1.</x:v>
      </x:c>
    </x:row>
    <x:row r="20" ht="90" customHeight="1">
      <x:c r="A20" s="9" t="str">
        <x:v>4.2.5</x:v>
      </x:c>
      <x:c r="B20" s="9" t="str">
        <x:v>Kho dự án cục bộ</x:v>
      </x:c>
      <x:c r="C20" s="9" t="str">
        <x:v>WP</x:v>
      </x:c>
      <x:c r="D20" s="13" t="n">
        <x:v>10</x:v>
      </x:c>
      <x:c r="E20" s="13" t="n">
        <x:v>14</x:v>
      </x:c>
      <x:c r="F20" s="13" t="n">
        <x:v>22</x:v>
      </x:c>
      <x:c r="G20" s="10" t="n">
        <x:f>SUM(D20:F20)/3</x:f>
        <x:v>15.333333333333334</x:v>
      </x:c>
      <x:c r="H20" s="14" t="n">
        <x:v>80000</x:v>
      </x:c>
      <x:c r="I20" s="15" t="n">
        <x:f>G20*H20</x:f>
        <x:v>1226666.6666666667</x:v>
      </x:c>
      <x:c r="J20" s="9" t="str">
        <x:v>IndexedDB/OPFS, gói checksum, phục hồi; migration snapshot thuộc3.2/4.2.6.</x:v>
      </x:c>
    </x:row>
    <x:row r="21" ht="90" customHeight="1">
      <x:c r="A21" s="9" t="str">
        <x:v>4.2.6</x:v>
      </x:c>
      <x:c r="B21" s="9" t="str">
        <x:v>Kiểm quyền xuất và danh mục mẫu</x:v>
      </x:c>
      <x:c r="C21" s="9" t="str">
        <x:v>WP</x:v>
      </x:c>
      <x:c r="D21" s="13" t="n">
        <x:v>16</x:v>
      </x:c>
      <x:c r="E21" s="13" t="n">
        <x:v>21</x:v>
      </x:c>
      <x:c r="F21" s="13" t="n">
        <x:v>34</x:v>
      </x:c>
      <x:c r="G21" s="10" t="n">
        <x:f>SUM(D21:F21)/3</x:f>
        <x:v>23.666666666666668</x:v>
      </x:c>
      <x:c r="H21" s="14" t="n">
        <x:v>80000</x:v>
      </x:c>
      <x:c r="I21" s="15" t="n">
        <x:f>G21*H21</x:f>
        <x:v>1893333.3333333335</x:v>
      </x:c>
      <x:c r="J21" s="9" t="str">
        <x:v>Cộng gói cũ3.7 (9/12/18) và3.8 (7/9/16); gồm xử lý complete và tương thích mẫu, không cộng lỗi đã biết lần nữa.</x:v>
      </x:c>
    </x:row>
    <x:row r="22" ht="90" customHeight="1">
      <x:c r="A22" s="9" t="str">
        <x:v>4.2.7</x:v>
      </x:c>
      <x:c r="B22" s="9" t="str">
        <x:v>Tạm dừng xuất và cảnh báo trình duyệt</x:v>
      </x:c>
      <x:c r="C22" s="9" t="str">
        <x:v>PP</x:v>
      </x:c>
      <x:c r="D22" s="13" t="n">
        <x:v>6</x:v>
      </x:c>
      <x:c r="E22" s="13" t="n">
        <x:v>10</x:v>
      </x:c>
      <x:c r="F22" s="13" t="n">
        <x:v>18</x:v>
      </x:c>
      <x:c r="G22" s="10" t="n">
        <x:f>SUM(D22:F22)/3</x:f>
        <x:v>11.333333333333334</x:v>
      </x:c>
      <x:c r="H22" s="14" t="n">
        <x:v>80000</x:v>
      </x:c>
      <x:c r="I22" s="15" t="n">
        <x:f>G22*H22</x:f>
        <x:v>906666.6666666667</x:v>
      </x:c>
      <x:c r="J22" s="9" t="str">
        <x:v>Chưa có thiết kế pause/resume; giữ trong phạm vi.</x:v>
      </x:c>
    </x:row>
    <x:row r="23" ht="90" customHeight="1">
      <x:c r="A23" s="9" t="str">
        <x:v>4.3.1</x:v>
      </x:c>
      <x:c r="B23" s="9" t="str">
        <x:v>Mô-đun tài khoản và xác thực</x:v>
      </x:c>
      <x:c r="C23" s="9" t="str">
        <x:v>WP</x:v>
      </x:c>
      <x:c r="D23" s="13" t="n">
        <x:v>10</x:v>
      </x:c>
      <x:c r="E23" s="13" t="n">
        <x:v>14</x:v>
      </x:c>
      <x:c r="F23" s="13" t="n">
        <x:v>18</x:v>
      </x:c>
      <x:c r="G23" s="10" t="n">
        <x:f>SUM(D23:F23)/3</x:f>
        <x:v>14</x:v>
      </x:c>
      <x:c r="H23" s="14" t="n">
        <x:v>80000</x:v>
      </x:c>
      <x:c r="I23" s="15" t="n">
        <x:f>G23*H23</x:f>
        <x:v>1120000</x:v>
      </x:c>
      <x:c r="J23" s="9" t="str">
        <x:v>Identity framework sẵn có; nhóm auth O/M/P=4/6/8, bảo vệ3/4/5, test3/4/5. Phán đoán lập kế hoạch24/09, độ tin cậy trung bình.</x:v>
      </x:c>
    </x:row>
    <x:row r="24" ht="90" customHeight="1">
      <x:c r="A24" s="9" t="str">
        <x:v>4.3.2</x:v>
      </x:c>
      <x:c r="B24" s="9" t="str">
        <x:v>Mô-đun giấy phép và hạn mức</x:v>
      </x:c>
      <x:c r="C24" s="9" t="str">
        <x:v>WP</x:v>
      </x:c>
      <x:c r="D24" s="13" t="n">
        <x:v>16</x:v>
      </x:c>
      <x:c r="E24" s="13" t="n">
        <x:v>22</x:v>
      </x:c>
      <x:c r="F24" s="13" t="n">
        <x:v>34</x:v>
      </x:c>
      <x:c r="G24" s="10" t="n">
        <x:f>SUM(D24:F24)/3</x:f>
        <x:v>24</x:v>
      </x:c>
      <x:c r="H24" s="14" t="n">
        <x:v>80000</x:v>
      </x:c>
      <x:c r="I24" s="15" t="n">
        <x:f>G24*H24</x:f>
        <x:v>1920000</x:v>
      </x:c>
      <x:c r="J24" s="9" t="str">
        <x:v>Policy5/6/9; reservation và hỗ trợ7/10/15; ngoại lệUTC/TTL4/6/10. Đọc source/test24/09, độ tin cậy trung bình.</x:v>
      </x:c>
    </x:row>
    <x:row r="25" ht="90" customHeight="1">
      <x:c r="A25" s="9" t="str">
        <x:v>4.3.3</x:v>
      </x:c>
      <x:c r="B25" s="9" t="str">
        <x:v>Mô-đun thanh toán và gia hạn</x:v>
      </x:c>
      <x:c r="C25" s="9" t="str">
        <x:v>WP</x:v>
      </x:c>
      <x:c r="D25" s="13" t="n">
        <x:v>16</x:v>
      </x:c>
      <x:c r="E25" s="13" t="n">
        <x:v>24</x:v>
      </x:c>
      <x:c r="F25" s="13" t="n">
        <x:v>40</x:v>
      </x:c>
      <x:c r="G25" s="10" t="n">
        <x:f>SUM(D25:F25)/3</x:f>
        <x:v>26.666666666666668</x:v>
      </x:c>
      <x:c r="H25" s="14" t="n">
        <x:v>80000</x:v>
      </x:c>
      <x:c r="I25" s="15" t="n">
        <x:f>G25*H25</x:f>
        <x:v>2133333.3333333335</x:v>
      </x:c>
      <x:c r="J25" s="9" t="str">
        <x:v>Event/fake/dedup5/7/11; adapter/callback7/11/19; gia hạn/nhắc4/6/10. Chưa biết nhà cung cấp, độ tin cậy thấp; thời gian chờ duyệt không tính thành giờ công.</x:v>
      </x:c>
    </x:row>
    <x:row r="26" ht="90" customHeight="1">
      <x:c r="A26" s="9" t="str">
        <x:v>4.3.4</x:v>
      </x:c>
      <x:c r="B26" s="9" t="str">
        <x:v>Trang quản lý thuê bao</x:v>
      </x:c>
      <x:c r="C26" s="9" t="str">
        <x:v>WP</x:v>
      </x:c>
      <x:c r="D26" s="13" t="n">
        <x:v>10</x:v>
      </x:c>
      <x:c r="E26" s="13" t="n">
        <x:v>14</x:v>
      </x:c>
      <x:c r="F26" s="13" t="n">
        <x:v>24</x:v>
      </x:c>
      <x:c r="G26" s="10" t="n">
        <x:f>SUM(D26:F26)/3</x:f>
        <x:v>16</x:v>
      </x:c>
      <x:c r="H26" s="14" t="n">
        <x:v>80000</x:v>
      </x:c>
      <x:c r="I26" s="15" t="n">
        <x:f>G26*H26</x:f>
        <x:v>1280000</x:v>
      </x:c>
      <x:c r="J26" s="9" t="str">
        <x:v>UI auth/quyền3/4/6; mua/gia hạn4/6/10; hóa đơn/chỗ3/4/8. AccountPage có một phần; độ tin cậy thấp vì API invoice/seat còn PP.</x:v>
      </x:c>
    </x:row>
    <x:row r="27" ht="90" customHeight="1">
      <x:c r="A27" s="9" t="str">
        <x:v>4.3.5</x:v>
      </x:c>
      <x:c r="B27" s="9" t="str">
        <x:v>Hóa đơn Doanh nghiệp</x:v>
      </x:c>
      <x:c r="C27" s="9" t="str">
        <x:v>PP</x:v>
      </x:c>
      <x:c r="D27" s="13" t="n">
        <x:v>12</x:v>
      </x:c>
      <x:c r="E27" s="13" t="n">
        <x:v>20</x:v>
      </x:c>
      <x:c r="F27" s="13" t="n">
        <x:v>34</x:v>
      </x:c>
      <x:c r="G27" s="10" t="n">
        <x:f>SUM(D27:F27)/3</x:f>
        <x:v>22</x:v>
      </x:c>
      <x:c r="H27" s="14" t="n">
        <x:v>80000</x:v>
      </x:c>
      <x:c r="I27" s="15" t="n">
        <x:f>G27*H27</x:f>
        <x:v>1760000</x:v>
      </x:c>
      <x:c r="J27" s="9" t="str">
        <x:v>Chưa có Invoice/schema/provider; phán đoán cấp gói24/09, độ tin cậy thấp; xác minh quy tắc thuế và nguồn phát hành trước phân rã.</x:v>
      </x:c>
    </x:row>
    <x:row r="28" ht="90" customHeight="1">
      <x:c r="A28" s="9" t="str">
        <x:v>4.3.6</x:v>
      </x:c>
      <x:c r="B28" s="9" t="str">
        <x:v>Quản lý 5 chỗ Doanh nghiệp</x:v>
      </x:c>
      <x:c r="C28" s="9" t="str">
        <x:v>PP</x:v>
      </x:c>
      <x:c r="D28" s="13" t="n">
        <x:v>14</x:v>
      </x:c>
      <x:c r="E28" s="13" t="n">
        <x:v>24</x:v>
      </x:c>
      <x:c r="F28" s="13" t="n">
        <x:v>40</x:v>
      </x:c>
      <x:c r="G28" s="10" t="n">
        <x:f>SUM(D28:F28)/3</x:f>
        <x:v>26</x:v>
      </x:c>
      <x:c r="H28" s="14" t="n">
        <x:v>80000</x:v>
      </x:c>
      <x:c r="I28" s="15" t="n">
        <x:f>G28*H28</x:f>
        <x:v>2080000</x:v>
      </x:c>
      <x:c r="J28" s="9" t="str">
        <x:v>Chưa có Seat; gồm owner/member/giới hạn5/thu hồi/hết hạn/concurrency; phán đoán cấp gói24/09, độ tin cậy thấp.</x:v>
      </x:c>
    </x:row>
    <x:row r="29" ht="90" customHeight="1">
      <x:c r="A29" s="9" t="str">
        <x:v>4.4.1</x:v>
      </x:c>
      <x:c r="B29" s="9" t="str">
        <x:v>Danh mục mẫu và tài sản đồ họa</x:v>
      </x:c>
      <x:c r="C29" s="9" t="str">
        <x:v>WP</x:v>
      </x:c>
      <x:c r="D29" s="13" t="n">
        <x:v>14</x:v>
      </x:c>
      <x:c r="E29" s="13" t="n">
        <x:v>20</x:v>
      </x:c>
      <x:c r="F29" s="13" t="n">
        <x:v>32</x:v>
      </x:c>
      <x:c r="G29" s="10" t="n">
        <x:f>SUM(D29:F29)/3</x:f>
        <x:v>22</x:v>
      </x:c>
      <x:c r="H29" s="14" t="n">
        <x:v>80000</x:v>
      </x:c>
      <x:c r="I29" s="15" t="n">
        <x:f>G29*H29</x:f>
        <x:v>1760000</x:v>
      </x:c>
      <x:c r="J29" s="9" t="str">
        <x:v>Tái dùng list/status; bổ sung validator/version, upload ảnh, kiểm tham chiếu và kiểm thử của gói; tE=(O+M+P)/3.</x:v>
      </x:c>
    </x:row>
    <x:row r="30" ht="90" customHeight="1">
      <x:c r="A30" s="9" t="str">
        <x:v>4.4.2</x:v>
      </x:c>
      <x:c r="B30" s="9" t="str">
        <x:v>Hồ sơ hỗ trợ và giao tiếp điều chỉnh hạn mức</x:v>
      </x:c>
      <x:c r="C30" s="9" t="str">
        <x:v>PP</x:v>
      </x:c>
      <x:c r="D30" s="13" t="n">
        <x:v>10</x:v>
      </x:c>
      <x:c r="E30" s="13" t="n">
        <x:v>18</x:v>
      </x:c>
      <x:c r="F30" s="13" t="n">
        <x:v>32</x:v>
      </x:c>
      <x:c r="G30" s="10" t="n">
        <x:f>SUM(D30:F30)/3</x:f>
        <x:v>20</x:v>
      </x:c>
      <x:c r="H30" s="14" t="n">
        <x:v>80000</x:v>
      </x:c>
      <x:c r="I30" s="15" t="n">
        <x:f>G30*H30</x:f>
        <x:v>1600000</x:v>
      </x:c>
      <x:c r="J30" s="9" t="str">
        <x:v>Tra cứu, ticket và client adjustment; B sở hữu service giao dịch quota ở4.3.2, không tính lại. Phân rã DOC-02.</x:v>
      </x:c>
    </x:row>
    <x:row r="31" ht="90" customHeight="1">
      <x:c r="A31" s="9" t="str">
        <x:v>4.4.3</x:v>
      </x:c>
      <x:c r="B31" s="9" t="str">
        <x:v>Giám sát, health và dữ liệu đo lợi ích</x:v>
      </x:c>
      <x:c r="C31" s="9" t="str">
        <x:v>WP</x:v>
      </x:c>
      <x:c r="D31" s="13" t="n">
        <x:v>8</x:v>
      </x:c>
      <x:c r="E31" s="13" t="n">
        <x:v>12</x:v>
      </x:c>
      <x:c r="F31" s="13" t="n">
        <x:v>22</x:v>
      </x:c>
      <x:c r="G31" s="10" t="n">
        <x:f>SUM(D31:F31)/3</x:f>
        <x:v>14</x:v>
      </x:c>
      <x:c r="H31" s="14" t="n">
        <x:v>80000</x:v>
      </x:c>
      <x:c r="I31" s="15" t="n">
        <x:f>G31*H31</x:f>
        <x:v>1120000</x:v>
      </x:c>
      <x:c r="J31" s="9" t="str">
        <x:v>Có snapshot metrics/readiness; còn kỳ đo, failure fixture và nguồn LI. Không tính3nămvậnhành hoặc giả30ngàyuptime.</x:v>
      </x:c>
    </x:row>
    <x:row r="32" ht="90" customHeight="1">
      <x:c r="A32" s="9" t="str">
        <x:v>4.4.4</x:v>
      </x:c>
      <x:c r="B32" s="9" t="str">
        <x:v>Giao diện quản trị</x:v>
      </x:c>
      <x:c r="C32" s="9" t="str">
        <x:v>PP</x:v>
      </x:c>
      <x:c r="D32" s="13" t="n">
        <x:v>8</x:v>
      </x:c>
      <x:c r="E32" s="13" t="n">
        <x:v>14</x:v>
      </x:c>
      <x:c r="F32" s="13" t="n">
        <x:v>26</x:v>
      </x:c>
      <x:c r="G32" s="10" t="n">
        <x:f>SUM(D32:F32)/3</x:f>
        <x:v>16</x:v>
      </x:c>
      <x:c r="H32" s="14" t="n">
        <x:v>80000</x:v>
      </x:c>
      <x:c r="I32" s="15" t="n">
        <x:f>G32*H32</x:f>
        <x:v>1280000</x:v>
      </x:c>
      <x:c r="J32" s="9" t="str">
        <x:v>Ba khu vực mẫu, hỗ trợ,metrics với quyền/loading/lỗi. Phân rã sau schema tại DOC-02.</x:v>
      </x:c>
    </x:row>
    <x:row r="33" ht="90" customHeight="1">
      <x:c r="A33" s="9" t="str">
        <x:v>5.1</x:v>
      </x:c>
      <x:c r="B33" s="9" t="str">
        <x:v>Bản tích hợp A–B–C và bằng chứng</x:v>
      </x:c>
      <x:c r="C33" s="9" t="str">
        <x:v>WP</x:v>
      </x:c>
      <x:c r="D33" s="13" t="n">
        <x:v>11</x:v>
      </x:c>
      <x:c r="E33" s="13" t="n">
        <x:v>14</x:v>
      </x:c>
      <x:c r="F33" s="13" t="n">
        <x:v>24</x:v>
      </x:c>
      <x:c r="G33" s="10" t="n">
        <x:f>SUM(D33:F33)/3</x:f>
        <x:v>16.333333333333332</x:v>
      </x:c>
      <x:c r="H33" s="14" t="n">
        <x:v>80000</x:v>
      </x:c>
      <x:c r="I33" s="15" t="n">
        <x:f>G33*H33</x:f>
        <x:v>1306666.6666666665</x:v>
      </x:c>
      <x:c r="J33" s="9" t="str">
        <x:v>TC-I, HAR, kiểm trên trình duyệt; thử máy chủ thật phụ thuộc Docker.</x:v>
      </x:c>
    </x:row>
    <x:row r="34" ht="90" customHeight="1">
      <x:c r="A34" s="9" t="str">
        <x:v>5.2</x:v>
      </x:c>
      <x:c r="B34" s="9" t="str">
        <x:v>Báo cáo hiệu năng và tính xác định</x:v>
      </x:c>
      <x:c r="C34" s="9" t="str">
        <x:v>PP</x:v>
      </x:c>
      <x:c r="D34" s="13" t="n">
        <x:v>16</x:v>
      </x:c>
      <x:c r="E34" s="13" t="n">
        <x:v>24</x:v>
      </x:c>
      <x:c r="F34" s="13" t="n">
        <x:v>44</x:v>
      </x:c>
      <x:c r="G34" s="10" t="n">
        <x:f>SUM(D34:F34)/3</x:f>
        <x:v>28</x:v>
      </x:c>
      <x:c r="H34" s="14" t="n">
        <x:v>80000</x:v>
      </x:c>
      <x:c r="I34" s="15" t="n">
        <x:f>G34*H34</x:f>
        <x:v>2240000</x:v>
      </x:c>
      <x:c r="J34" s="9" t="str">
        <x:v>1080p, bộ nhớ×10, checksum3máy; cần máy tham chiếu.</x:v>
      </x:c>
    </x:row>
    <x:row r="35" ht="90" customHeight="1">
      <x:c r="A35" s="9" t="str">
        <x:v>5.3</x:v>
      </x:c>
      <x:c r="B35" s="9" t="str">
        <x:v>Báo cáo độ tin cậy, tiếng Việt và dễ dùng</x:v>
      </x:c>
      <x:c r="C35" s="9" t="str">
        <x:v>PP</x:v>
      </x:c>
      <x:c r="D35" s="13" t="n">
        <x:v>12</x:v>
      </x:c>
      <x:c r="E35" s="13" t="n">
        <x:v>18</x:v>
      </x:c>
      <x:c r="F35" s="13" t="n">
        <x:v>32</x:v>
      </x:c>
      <x:c r="G35" s="10" t="n">
        <x:f>SUM(D35:F35)/3</x:f>
        <x:v>20.666666666666668</x:v>
      </x:c>
      <x:c r="H35" s="14" t="n">
        <x:v>80000</x:v>
      </x:c>
      <x:c r="I35" s="15" t="n">
        <x:f>G35*H35</x:f>
        <x:v>1653333.3333333335</x:v>
      </x:c>
      <x:c r="J35" s="9" t="str">
        <x:v>134tổ hợp,100lần xuất,10người thử; chưa có lịch tuyển.</x:v>
      </x:c>
    </x:row>
    <x:row r="36" ht="90" customHeight="1">
      <x:c r="A36" s="9" t="str">
        <x:v>6.1</x:v>
      </x:c>
      <x:c r="B36" s="9" t="str">
        <x:v>Bản phát hành production</x:v>
      </x:c>
      <x:c r="C36" s="9" t="str">
        <x:v>PP</x:v>
      </x:c>
      <x:c r="D36" s="13" t="n">
        <x:v>12</x:v>
      </x:c>
      <x:c r="E36" s="13" t="n">
        <x:v>20</x:v>
      </x:c>
      <x:c r="F36" s="13" t="n">
        <x:v>28</x:v>
      </x:c>
      <x:c r="G36" s="10" t="n">
        <x:f>SUM(D36:F36)/3</x:f>
        <x:v>20</x:v>
      </x:c>
      <x:c r="H36" s="14" t="n">
        <x:v>80000</x:v>
      </x:c>
      <x:c r="I36" s="15" t="n">
        <x:f>G36*H36</x:f>
        <x:v>1600000</x:v>
      </x:c>
      <x:c r="J36" s="9" t="str">
        <x:v>HTTPS, migration, backup/restore, rollback và triển khai; không thay bằng demo.</x:v>
      </x:c>
    </x:row>
    <x:row r="37" ht="90" customHeight="1">
      <x:c r="A37" s="9" t="str">
        <x:v>6.2</x:v>
      </x:c>
      <x:c r="B37" s="9" t="str">
        <x:v>Gói demo và hướng dẫn sử dụng</x:v>
      </x:c>
      <x:c r="C37" s="9" t="str">
        <x:v>WP</x:v>
      </x:c>
      <x:c r="D37" s="13" t="n">
        <x:v>6</x:v>
      </x:c>
      <x:c r="E37" s="13" t="n">
        <x:v>10</x:v>
      </x:c>
      <x:c r="F37" s="13" t="n">
        <x:v>14</x:v>
      </x:c>
      <x:c r="G37" s="10" t="n">
        <x:f>SUM(D37:F37)/3</x:f>
        <x:v>10</x:v>
      </x:c>
      <x:c r="H37" s="14" t="n">
        <x:v>80000</x:v>
      </x:c>
      <x:c r="I37" s="15" t="n">
        <x:f>G37*H37</x:f>
        <x:v>800000</x:v>
      </x:c>
      <x:c r="J37" s="9" t="str">
        <x:v>Kịch bản, seed, hướng dẫn cài/chạy và xử lý sự cố.</x:v>
      </x:c>
    </x:row>
    <x:row r="38" ht="90" customHeight="1">
      <x:c r="A38" s="9" t="str">
        <x:v>6.3</x:v>
      </x:c>
      <x:c r="B38" s="9" t="str">
        <x:v>Hồ sơ kết thúc và bài trình bày</x:v>
      </x:c>
      <x:c r="C38" s="9" t="str">
        <x:v>WP</x:v>
      </x:c>
      <x:c r="D38" s="13" t="n">
        <x:v>8</x:v>
      </x:c>
      <x:c r="E38" s="13" t="n">
        <x:v>12</x:v>
      </x:c>
      <x:c r="F38" s="13" t="n">
        <x:v>16</x:v>
      </x:c>
      <x:c r="G38" s="10" t="n">
        <x:f>SUM(D38:F38)/3</x:f>
        <x:v>12</x:v>
      </x:c>
      <x:c r="H38" s="14" t="n">
        <x:v>80000</x:v>
      </x:c>
      <x:c r="I38" s="15" t="n">
        <x:f>G38*H38</x:f>
        <x:v>960000</x:v>
      </x:c>
      <x:c r="J38" s="9" t="str">
        <x:v>Final snapshot, bài học, mục lục bàn giao, nội dung slide.</x:v>
      </x:c>
    </x:row>
    <x:row r="39" ht="90" customHeight="1">
      <x:c r="A39" s="9" t="str">
        <x:v>6.4</x:v>
      </x:c>
      <x:c r="B39" s="9" t="str">
        <x:v>Biên bản nghiệm thu sản phẩm</x:v>
      </x:c>
      <x:c r="C39" s="9" t="str">
        <x:v>PP</x:v>
      </x:c>
      <x:c r="D39" s="13" t="n">
        <x:v>6</x:v>
      </x:c>
      <x:c r="E39" s="13" t="n">
        <x:v>8</x:v>
      </x:c>
      <x:c r="F39" s="13" t="n">
        <x:v>10</x:v>
      </x:c>
      <x:c r="G39" s="10" t="n">
        <x:f>SUM(D39:F39)/3</x:f>
        <x:v>8</x:v>
      </x:c>
      <x:c r="H39" s="14" t="n">
        <x:v>80000</x:v>
      </x:c>
      <x:c r="I39" s="15" t="n">
        <x:f>G39*H39</x:f>
        <x:v>640000</x:v>
      </x:c>
      <x:c r="J39" s="9" t="str">
        <x:v>Control Quality → Validate Scope → Close; chưa ký thay sponsor.</x:v>
      </x:c>
    </x:row>
    <x:row r="42">
      <x:c r="F42" t="str">
        <x:v>Tổng forecast</x:v>
      </x:c>
      <x:c r="G42" s="16" t="n">
        <x:f>SUM(G8:G39)</x:f>
        <x:v>598.9999999999999</x:v>
      </x:c>
      <x:c r="I42" s="16" t="n">
        <x:f>SUM(I8:I39)</x:f>
        <x:v>47920000</x:v>
      </x:c>
    </x:row>
    <x:row r="43">
      <x:c r="F43" t="str">
        <x:v>Charter danh nghĩa</x:v>
      </x:c>
      <x:c r="G43" t="n">
        <x:v>450</x:v>
      </x:c>
    </x:row>
    <x:row r="44">
      <x:c r="F44" t="str">
        <x:v>Charter trần +10%</x:v>
      </x:c>
      <x:c r="G44" t="n">
        <x:v>495</x:v>
      </x:c>
    </x:row>
    <x:row r="45">
      <x:c r="F45" t="str">
        <x:v>Lệch danh nghĩa</x:v>
      </x:c>
      <x:c r="G45" s="16" t="n">
        <x:f>G42-G43</x:f>
        <x:v>148.9999999999999</x:v>
      </x:c>
    </x:row>
    <x:row r="46">
      <x:c r="F46" t="str">
        <x:v>Lệch trần</x:v>
      </x:c>
      <x:c r="G46" s="16" t="n">
        <x:f>G42-G44</x:f>
        <x:v>103.99999999999989</x:v>
      </x:c>
    </x:row>
  </x:sheetData>
  <x:conditionalFormatting sqref="G46:G46">
    <x:cfRule type="expression" dxfId="0" priority="1">
      <x:formula>G46&gt;0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0" hidden="0" customWidth="1"/>
    <x:col min="4" max="4" width="22" hidden="0" customWidth="1"/>
    <x:col min="5" max="5" width="28" hidden="0" customWidth="1"/>
    <x:col min="6" max="6" width="23" hidden="0" customWidth="1"/>
    <x:col min="7" max="7" width="76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P11 — Dự phòng tách khỏi ước lượng gốc</x:v>
      </x:c>
      <x:c r="B2" s="2"/>
      <x:c r="C2" s="2"/>
      <x:c r="D2" s="2"/>
      <x:c r="E2" s="2"/>
      <x:c r="F2" s="2"/>
      <x:c r="G2" s="2"/>
    </x:row>
    <x:row r="3">
      <x:c r="A3" s="2" t="str">
        <x:v>Dự thảo 24/09/2026. Thiếu xác nhận độc lập hoặc nghiệm thu sản phẩm.</x:v>
      </x:c>
      <x:c r="B3" s="2"/>
      <x:c r="C3" s="2"/>
      <x:c r="D3" s="2"/>
      <x:c r="E3" s="2"/>
      <x:c r="F3" s="2"/>
      <x:c r="G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</x:row>
    <x:row r="5">
      <x:c r="A5" s="2" t="str">
        <x:v>Phòng ngừa đã nằm trong WBS; EMV chỉ tính hậu quả còn lại. Reserve quản lý chưa phân bổ; không cộng 400.000 VND vào giờ công.</x:v>
      </x:c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40" customHeight="1">
      <x:c r="A7" s="8" t="str">
        <x:v>Mã rủi ro</x:v>
      </x:c>
      <x:c r="B7" s="8" t="str">
        <x:v>Xác suất</x:v>
      </x:c>
      <x:c r="C7" s="8" t="str">
        <x:v>Tác động giờ</x:v>
      </x:c>
      <x:c r="D7" s="8" t="str">
        <x:v>Contingency giờ</x:v>
      </x:c>
      <x:c r="E7" s="8" t="str">
        <x:v>Chi phí cơ hội VND</x:v>
      </x:c>
      <x:c r="F7" s="8" t="str">
        <x:v>Chủ</x:v>
      </x:c>
      <x:c r="G7" s="8" t="str">
        <x:v>Căn cứ / phạm vi</x:v>
      </x:c>
    </x:row>
    <x:row r="8" ht="60" customHeight="1">
      <x:c r="A8" s="9" t="str">
        <x:v>R-A-01</x:v>
      </x:c>
      <x:c r="B8" s="17" t="n">
        <x:v>0.5</x:v>
      </x:c>
      <x:c r="C8" s="9" t="n">
        <x:v>12</x:v>
      </x:c>
      <x:c r="D8" s="10" t="n">
        <x:f>0</x:f>
        <x:v>0</x:v>
      </x:c>
      <x:c r="E8" s="18" t="n">
        <x:f>IF(D8="n.a.","n.a.",D8*80000)</x:f>
        <x:v>0</x:v>
      </x:c>
      <x:c r="F8" s="9" t="str">
        <x:v>Chiến</x:v>
      </x:c>
      <x:c r="G8" s="9" t="str">
        <x:v>Không cộng reserve: công việc đã nằm base hoặc trùng rủi ro chung. Exposure tham khảo ở P13.</x:v>
      </x:c>
    </x:row>
    <x:row r="9" ht="60" customHeight="1">
      <x:c r="A9" s="9" t="str">
        <x:v>R-A-02</x:v>
      </x:c>
      <x:c r="B9" s="17" t="n">
        <x:v>0.7</x:v>
      </x:c>
      <x:c r="C9" s="9" t="n">
        <x:v>8</x:v>
      </x:c>
      <x:c r="D9" s="10" t="n">
        <x:f>0</x:f>
        <x:v>0</x:v>
      </x:c>
      <x:c r="E9" s="18" t="n">
        <x:f>IF(D9="n.a.","n.a.",D9*80000)</x:f>
        <x:v>0</x:v>
      </x:c>
      <x:c r="F9" s="9" t="str">
        <x:v>Chiến</x:v>
      </x:c>
      <x:c r="G9" s="9" t="str">
        <x:v>Không cộng reserve: công việc đã nằm base hoặc trùng rủi ro chung. Exposure tham khảo ở P13.</x:v>
      </x:c>
    </x:row>
    <x:row r="10" ht="60" customHeight="1">
      <x:c r="A10" s="9" t="str">
        <x:v>R-A-03</x:v>
      </x:c>
      <x:c r="B10" s="17" t="n">
        <x:v>0.5</x:v>
      </x:c>
      <x:c r="C10" s="9" t="n">
        <x:v>8</x:v>
      </x:c>
      <x:c r="D10" s="10" t="n">
        <x:f>0</x:f>
        <x:v>0</x:v>
      </x:c>
      <x:c r="E10" s="18" t="n">
        <x:f>IF(D10="n.a.","n.a.",D10*80000)</x:f>
        <x:v>0</x:v>
      </x:c>
      <x:c r="F10" s="9" t="str">
        <x:v>Việt Quang</x:v>
      </x:c>
      <x:c r="G10" s="9" t="str">
        <x:v>Không cộng reserve: công việc đã nằm base hoặc trùng rủi ro chung. Exposure tham khảo ở P13.</x:v>
      </x:c>
    </x:row>
    <x:row r="11" ht="60" customHeight="1">
      <x:c r="A11" s="9" t="str">
        <x:v>R-A-04</x:v>
      </x:c>
      <x:c r="B11" s="17" t="n">
        <x:v>0.3</x:v>
      </x:c>
      <x:c r="C11" s="9" t="n">
        <x:v>4</x:v>
      </x:c>
      <x:c r="D11" s="10" t="n">
        <x:f>0</x:f>
        <x:v>0</x:v>
      </x:c>
      <x:c r="E11" s="18" t="n">
        <x:f>IF(D11="n.a.","n.a.",D11*80000)</x:f>
        <x:v>0</x:v>
      </x:c>
      <x:c r="F11" s="9" t="str">
        <x:v>Chiến</x:v>
      </x:c>
      <x:c r="G11" s="9" t="str">
        <x:v>Không cộng reserve: công việc đã nằm base hoặc trùng rủi ro chung. Exposure tham khảo ở P13.</x:v>
      </x:c>
    </x:row>
    <x:row r="12" ht="60" customHeight="1">
      <x:c r="A12" s="9" t="str">
        <x:v>R-A-05</x:v>
      </x:c>
      <x:c r="B12" s="17" t="n">
        <x:v>0.5</x:v>
      </x:c>
      <x:c r="C12" s="9" t="n">
        <x:v>8</x:v>
      </x:c>
      <x:c r="D12" s="10" t="n">
        <x:f>0</x:f>
        <x:v>0</x:v>
      </x:c>
      <x:c r="E12" s="18" t="n">
        <x:f>IF(D12="n.a.","n.a.",D12*80000)</x:f>
        <x:v>0</x:v>
      </x:c>
      <x:c r="F12" s="9" t="str">
        <x:v>Chiến</x:v>
      </x:c>
      <x:c r="G12" s="9" t="str">
        <x:v>Không cộng reserve: công việc đã nằm base hoặc trùng rủi ro chung. Exposure tham khảo ở P13.</x:v>
      </x:c>
    </x:row>
    <x:row r="13" ht="60" customHeight="1">
      <x:c r="A13" s="9" t="str">
        <x:v>R-A-06</x:v>
      </x:c>
      <x:c r="B13" s="17" t="n">
        <x:v>0.7</x:v>
      </x:c>
      <x:c r="C13" s="9" t="n">
        <x:v>10</x:v>
      </x:c>
      <x:c r="D13" s="10" t="n">
        <x:f>0</x:f>
        <x:v>0</x:v>
      </x:c>
      <x:c r="E13" s="18" t="n">
        <x:f>IF(D13="n.a.","n.a.",D13*80000)</x:f>
        <x:v>0</x:v>
      </x:c>
      <x:c r="F13" s="9" t="str">
        <x:v>Chiến</x:v>
      </x:c>
      <x:c r="G13" s="9" t="str">
        <x:v>Không cộng reserve: công việc đã nằm base hoặc trùng rủi ro chung. Exposure tham khảo ở P13.</x:v>
      </x:c>
    </x:row>
    <x:row r="14" ht="60" customHeight="1">
      <x:c r="A14" s="9" t="str">
        <x:v>R-A-07</x:v>
      </x:c>
      <x:c r="B14" s="17" t="n">
        <x:v>0.5</x:v>
      </x:c>
      <x:c r="C14" s="9" t="n">
        <x:v>8</x:v>
      </x:c>
      <x:c r="D14" s="10" t="n">
        <x:f>0</x:f>
        <x:v>0</x:v>
      </x:c>
      <x:c r="E14" s="18" t="n">
        <x:f>IF(D14="n.a.","n.a.",D14*80000)</x:f>
        <x:v>0</x:v>
      </x:c>
      <x:c r="F14" s="9" t="str">
        <x:v>Chiến</x:v>
      </x:c>
      <x:c r="G14" s="9" t="str">
        <x:v>Không cộng reserve: công việc đã nằm base hoặc trùng rủi ro chung. Exposure tham khảo ở P13.</x:v>
      </x:c>
    </x:row>
    <x:row r="15" ht="60" customHeight="1">
      <x:c r="A15" s="9" t="str">
        <x:v>R-A-08</x:v>
      </x:c>
      <x:c r="B15" s="17" t="n">
        <x:v>0.5</x:v>
      </x:c>
      <x:c r="C15" s="9" t="n">
        <x:v>4</x:v>
      </x:c>
      <x:c r="D15" s="10" t="n">
        <x:f>0</x:f>
        <x:v>0</x:v>
      </x:c>
      <x:c r="E15" s="18" t="n">
        <x:f>IF(D15="n.a.","n.a.",D15*80000)</x:f>
        <x:v>0</x:v>
      </x:c>
      <x:c r="F15" s="9" t="str">
        <x:v>Chiến</x:v>
      </x:c>
      <x:c r="G15" s="9" t="str">
        <x:v>Không cộng reserve: công việc đã nằm base hoặc trùng rủi ro chung. Exposure tham khảo ở P13.</x:v>
      </x:c>
    </x:row>
    <x:row r="16" ht="60" customHeight="1">
      <x:c r="A16" s="9" t="str">
        <x:v>R-A-09</x:v>
      </x:c>
      <x:c r="B16" s="17" t="n">
        <x:v>0.5</x:v>
      </x:c>
      <x:c r="C16" s="9" t="n">
        <x:v>8</x:v>
      </x:c>
      <x:c r="D16" s="10" t="n">
        <x:f>0</x:f>
        <x:v>0</x:v>
      </x:c>
      <x:c r="E16" s="18" t="n">
        <x:f>IF(D16="n.a.","n.a.",D16*80000)</x:f>
        <x:v>0</x:v>
      </x:c>
      <x:c r="F16" s="9" t="str">
        <x:v>Chiến</x:v>
      </x:c>
      <x:c r="G16" s="9" t="str">
        <x:v>Không cộng reserve: công việc đã nằm base hoặc trùng rủi ro chung. Exposure tham khảo ở P13.</x:v>
      </x:c>
    </x:row>
    <x:row r="17" ht="60" customHeight="1">
      <x:c r="A17" s="9" t="str">
        <x:v>R-A-10</x:v>
      </x:c>
      <x:c r="B17" s="17" t="n">
        <x:v>0.3</x:v>
      </x:c>
      <x:c r="C17" s="9" t="n">
        <x:v>8</x:v>
      </x:c>
      <x:c r="D17" s="10" t="n">
        <x:f>0</x:f>
        <x:v>0</x:v>
      </x:c>
      <x:c r="E17" s="18" t="n">
        <x:f>IF(D17="n.a.","n.a.",D17*80000)</x:f>
        <x:v>0</x:v>
      </x:c>
      <x:c r="F17" s="9" t="str">
        <x:v>Việt Quang</x:v>
      </x:c>
      <x:c r="G17" s="9" t="str">
        <x:v>Không cộng reserve: công việc đã nằm base hoặc trùng rủi ro chung. Exposure tham khảo ở P13.</x:v>
      </x:c>
    </x:row>
    <x:row r="18" ht="60" customHeight="1">
      <x:c r="A18" s="9" t="str">
        <x:v>R-A-11</x:v>
      </x:c>
      <x:c r="B18" s="17" t="n">
        <x:v>0.5</x:v>
      </x:c>
      <x:c r="C18" s="9" t="n">
        <x:v>8</x:v>
      </x:c>
      <x:c r="D18" s="10" t="n">
        <x:f>0</x:f>
        <x:v>0</x:v>
      </x:c>
      <x:c r="E18" s="18" t="n">
        <x:f>IF(D18="n.a.","n.a.",D18*80000)</x:f>
        <x:v>0</x:v>
      </x:c>
      <x:c r="F18" s="9" t="str">
        <x:v>Chiến</x:v>
      </x:c>
      <x:c r="G18" s="9" t="str">
        <x:v>Không cộng reserve: công việc đã nằm base hoặc trùng rủi ro chung. Exposure tham khảo ở P13.</x:v>
      </x:c>
    </x:row>
    <x:row r="19" ht="60" customHeight="1">
      <x:c r="A19" s="9" t="str">
        <x:v>R-B-01</x:v>
      </x:c>
      <x:c r="B19" s="17" t="n">
        <x:v>0.5</x:v>
      </x:c>
      <x:c r="C19" s="9" t="n">
        <x:v>12</x:v>
      </x:c>
      <x:c r="D19" s="10" t="n">
        <x:f>IF(OR(NOT(ISNUMBER(B19)),NOT(ISNUMBER(C19))),"n.a.",B19*C19)</x:f>
        <x:v>6</x:v>
      </x:c>
      <x:c r="E19" s="18" t="n">
        <x:f>IF(D19="n.a.","n.a.",D19*80000)</x:f>
        <x:v>480000</x:v>
      </x:c>
      <x:c r="F19" s="9" t="str">
        <x:v>Nguyễn Việt Quang</x:v>
      </x:c>
      <x:c r="G19" s="9" t="str">
        <x:v>Snapshot P13 24/09; contingency dự thảo chưa duyệt, không phải chi thực tế.</x:v>
      </x:c>
    </x:row>
    <x:row r="20" ht="60" customHeight="1">
      <x:c r="A20" s="9" t="str">
        <x:v>R-B-02</x:v>
      </x:c>
      <x:c r="B20" s="17" t="n">
        <x:v>0.3</x:v>
      </x:c>
      <x:c r="C20" s="9" t="n">
        <x:v>12</x:v>
      </x:c>
      <x:c r="D20" s="10" t="n">
        <x:f>IF(OR(NOT(ISNUMBER(B20)),NOT(ISNUMBER(C20))),"n.a.",B20*C20)</x:f>
        <x:v>3.5999999999999996</x:v>
      </x:c>
      <x:c r="E20" s="18" t="n">
        <x:f>IF(D20="n.a.","n.a.",D20*80000)</x:f>
        <x:v>288000</x:v>
      </x:c>
      <x:c r="F20" s="9" t="str">
        <x:v>Nguyễn Việt Quang</x:v>
      </x:c>
      <x:c r="G20" s="9" t="str">
        <x:v>Snapshot P13 24/09; contingency dự thảo chưa duyệt, không phải chi thực tế.</x:v>
      </x:c>
    </x:row>
    <x:row r="21" ht="60" customHeight="1">
      <x:c r="A21" s="9" t="str">
        <x:v>R-B-03</x:v>
      </x:c>
      <x:c r="B21" s="17" t="n">
        <x:v>0.3</x:v>
      </x:c>
      <x:c r="C21" s="9" t="n">
        <x:v>8</x:v>
      </x:c>
      <x:c r="D21" s="10" t="n">
        <x:f>IF(OR(NOT(ISNUMBER(B21)),NOT(ISNUMBER(C21))),"n.a.",B21*C21)</x:f>
        <x:v>2.4</x:v>
      </x:c>
      <x:c r="E21" s="18" t="n">
        <x:f>IF(D21="n.a.","n.a.",D21*80000)</x:f>
        <x:v>192000</x:v>
      </x:c>
      <x:c r="F21" s="9" t="str">
        <x:v>Nguyễn Việt Quang</x:v>
      </x:c>
      <x:c r="G21" s="9" t="str">
        <x:v>Snapshot P13 24/09; contingency dự thảo chưa duyệt, không phải chi thực tế.</x:v>
      </x:c>
    </x:row>
    <x:row r="22" ht="60" customHeight="1">
      <x:c r="A22" s="9" t="str">
        <x:v>R-B-04</x:v>
      </x:c>
      <x:c r="B22" s="17" t="n">
        <x:v>0.5</x:v>
      </x:c>
      <x:c r="C22" s="9" t="n">
        <x:v>16</x:v>
      </x:c>
      <x:c r="D22" s="10" t="n">
        <x:f>IF(OR(NOT(ISNUMBER(B22)),NOT(ISNUMBER(C22))),"n.a.",B22*C22)</x:f>
        <x:v>8</x:v>
      </x:c>
      <x:c r="E22" s="18" t="n">
        <x:f>IF(D22="n.a.","n.a.",D22*80000)</x:f>
        <x:v>640000</x:v>
      </x:c>
      <x:c r="F22" s="9" t="str">
        <x:v>Nguyễn Việt Quang</x:v>
      </x:c>
      <x:c r="G22" s="9" t="str">
        <x:v>Snapshot P13 24/09; contingency dự thảo chưa duyệt, không phải chi thực tế.</x:v>
      </x:c>
    </x:row>
    <x:row r="23" ht="60" customHeight="1">
      <x:c r="A23" s="9" t="str">
        <x:v>R-B-05</x:v>
      </x:c>
      <x:c r="B23" s="17" t="n">
        <x:v>0.3</x:v>
      </x:c>
      <x:c r="C23" s="9" t="n">
        <x:v>6</x:v>
      </x:c>
      <x:c r="D23" s="10" t="n">
        <x:f>IF(OR(NOT(ISNUMBER(B23)),NOT(ISNUMBER(C23))),"n.a.",B23*C23)</x:f>
        <x:v>1.7999999999999998</x:v>
      </x:c>
      <x:c r="E23" s="18" t="n">
        <x:f>IF(D23="n.a.","n.a.",D23*80000)</x:f>
        <x:v>144000</x:v>
      </x:c>
      <x:c r="F23" s="9" t="str">
        <x:v>Nguyễn Việt Quang</x:v>
      </x:c>
      <x:c r="G23" s="9" t="str">
        <x:v>Snapshot P13 24/09; contingency dự thảo chưa duyệt, không phải chi thực tế.</x:v>
      </x:c>
    </x:row>
    <x:row r="24" ht="60" customHeight="1">
      <x:c r="A24" s="9" t="str">
        <x:v>R-B-06</x:v>
      </x:c>
      <x:c r="B24" s="17" t="n">
        <x:v>0.1</x:v>
      </x:c>
      <x:c r="C24" s="9" t="n">
        <x:v>16</x:v>
      </x:c>
      <x:c r="D24" s="10" t="n">
        <x:f>IF(OR(NOT(ISNUMBER(B24)),NOT(ISNUMBER(C24))),"n.a.",B24*C24)</x:f>
        <x:v>1.6</x:v>
      </x:c>
      <x:c r="E24" s="18" t="n">
        <x:f>IF(D24="n.a.","n.a.",D24*80000)</x:f>
        <x:v>128000</x:v>
      </x:c>
      <x:c r="F24" s="9" t="str">
        <x:v>Nguyễn Việt Quang</x:v>
      </x:c>
      <x:c r="G24" s="9" t="str">
        <x:v>Snapshot P13 24/09; contingency dự thảo chưa duyệt, không phải chi thực tế.</x:v>
      </x:c>
    </x:row>
    <x:row r="25" ht="60" customHeight="1">
      <x:c r="A25" s="9" t="str">
        <x:v>R-B-07</x:v>
      </x:c>
      <x:c r="B25" s="17" t="n">
        <x:v>0.3</x:v>
      </x:c>
      <x:c r="C25" s="9" t="n">
        <x:v>8</x:v>
      </x:c>
      <x:c r="D25" s="10" t="n">
        <x:f>IF(OR(NOT(ISNUMBER(B25)),NOT(ISNUMBER(C25))),"n.a.",B25*C25)</x:f>
        <x:v>2.4</x:v>
      </x:c>
      <x:c r="E25" s="18" t="n">
        <x:f>IF(D25="n.a.","n.a.",D25*80000)</x:f>
        <x:v>192000</x:v>
      </x:c>
      <x:c r="F25" s="9" t="str">
        <x:v>Nguyễn Việt Quang</x:v>
      </x:c>
      <x:c r="G25" s="9" t="str">
        <x:v>Snapshot P13 24/09; contingency dự thảo chưa duyệt, không phải chi thực tế.</x:v>
      </x:c>
    </x:row>
    <x:row r="26" ht="60" customHeight="1">
      <x:c r="A26" s="9" t="str">
        <x:v>R-B-08</x:v>
      </x:c>
      <x:c r="B26" s="17" t="n">
        <x:v>0.3</x:v>
      </x:c>
      <x:c r="C26" s="9" t="n">
        <x:v>12</x:v>
      </x:c>
      <x:c r="D26" s="10" t="n">
        <x:f>IF(OR(NOT(ISNUMBER(B26)),NOT(ISNUMBER(C26))),"n.a.",B26*C26)</x:f>
        <x:v>3.5999999999999996</x:v>
      </x:c>
      <x:c r="E26" s="18" t="n">
        <x:f>IF(D26="n.a.","n.a.",D26*80000)</x:f>
        <x:v>288000</x:v>
      </x:c>
      <x:c r="F26" s="9" t="str">
        <x:v>Nguyễn Việt Quang</x:v>
      </x:c>
      <x:c r="G26" s="9" t="str">
        <x:v>Snapshot P13 24/09; contingency dự thảo chưa duyệt, không phải chi thực tế.</x:v>
      </x:c>
    </x:row>
    <x:row r="27" ht="60" customHeight="1">
      <x:c r="A27" s="9" t="str">
        <x:v>R-B-09</x:v>
      </x:c>
      <x:c r="B27" s="17" t="n">
        <x:v>0.5</x:v>
      </x:c>
      <x:c r="C27" s="9" t="n">
        <x:v>8</x:v>
      </x:c>
      <x:c r="D27" s="10" t="n">
        <x:f>IF(OR(NOT(ISNUMBER(B27)),NOT(ISNUMBER(C27))),"n.a.",B27*C27)</x:f>
        <x:v>4</x:v>
      </x:c>
      <x:c r="E27" s="18" t="n">
        <x:f>IF(D27="n.a.","n.a.",D27*80000)</x:f>
        <x:v>320000</x:v>
      </x:c>
      <x:c r="F27" s="9" t="str">
        <x:v>Nguyễn Việt Quang</x:v>
      </x:c>
      <x:c r="G27" s="9" t="str">
        <x:v>Snapshot P13 24/09; contingency dự thảo chưa duyệt, không phải chi thực tế.</x:v>
      </x:c>
    </x:row>
    <x:row r="28" ht="60" customHeight="1">
      <x:c r="A28" s="9" t="str">
        <x:v>R-C-01</x:v>
      </x:c>
      <x:c r="B28" s="17" t="n">
        <x:v>0.5</x:v>
      </x:c>
      <x:c r="C28" s="9" t="n">
        <x:v>8</x:v>
      </x:c>
      <x:c r="D28" s="10" t="n">
        <x:f>IF(OR(NOT(ISNUMBER(B28)),NOT(ISNUMBER(C28))),"n.a.",B28*C28)</x:f>
        <x:v>4</x:v>
      </x:c>
      <x:c r="E28" s="18" t="n">
        <x:f>IF(D28="n.a.","n.a.",D28*80000)</x:f>
        <x:v>320000</x:v>
      </x:c>
      <x:c r="F28" s="9" t="str">
        <x:v>Phạm Quang Anh</x:v>
      </x:c>
      <x:c r="G28" s="9" t="str">
        <x:v>Snapshot P13 24/09; contingency dự thảo chưa duyệt, không phải chi thực tế.</x:v>
      </x:c>
    </x:row>
    <x:row r="29" ht="60" customHeight="1">
      <x:c r="A29" s="9" t="str">
        <x:v>R-C-02</x:v>
      </x:c>
      <x:c r="B29" s="17" t="n">
        <x:v>0.3</x:v>
      </x:c>
      <x:c r="C29" s="9" t="n">
        <x:v>12</x:v>
      </x:c>
      <x:c r="D29" s="10" t="n">
        <x:f>IF(OR(NOT(ISNUMBER(B29)),NOT(ISNUMBER(C29))),"n.a.",B29*C29)</x:f>
        <x:v>3.5999999999999996</x:v>
      </x:c>
      <x:c r="E29" s="18" t="n">
        <x:f>IF(D29="n.a.","n.a.",D29*80000)</x:f>
        <x:v>288000</x:v>
      </x:c>
      <x:c r="F29" s="9" t="str">
        <x:v>Nguyễn Việt Quang</x:v>
      </x:c>
      <x:c r="G29" s="9" t="str">
        <x:v>Snapshot P13 24/09; contingency dự thảo chưa duyệt, không phải chi thực tế.</x:v>
      </x:c>
    </x:row>
    <x:row r="30" ht="60" customHeight="1">
      <x:c r="A30" s="9" t="str">
        <x:v>R-C-03</x:v>
      </x:c>
      <x:c r="B30" s="17" t="n">
        <x:v>0.3</x:v>
      </x:c>
      <x:c r="C30" s="9" t="n">
        <x:v>4</x:v>
      </x:c>
      <x:c r="D30" s="10" t="n">
        <x:f>IF(OR(NOT(ISNUMBER(B30)),NOT(ISNUMBER(C30))),"n.a.",B30*C30)</x:f>
        <x:v>1.2</x:v>
      </x:c>
      <x:c r="E30" s="18" t="n">
        <x:f>IF(D30="n.a.","n.a.",D30*80000)</x:f>
        <x:v>96000</x:v>
      </x:c>
      <x:c r="F30" s="9" t="str">
        <x:v>Phạm Quang Anh</x:v>
      </x:c>
      <x:c r="G30" s="9" t="str">
        <x:v>Snapshot P13 24/09; contingency dự thảo chưa duyệt, không phải chi thực tế.</x:v>
      </x:c>
    </x:row>
    <x:row r="31" ht="60" customHeight="1">
      <x:c r="A31" s="9" t="str">
        <x:v>R-C-04</x:v>
      </x:c>
      <x:c r="B31" s="17" t="n">
        <x:v>0.5</x:v>
      </x:c>
      <x:c r="C31" s="9" t="n">
        <x:v>8</x:v>
      </x:c>
      <x:c r="D31" s="10" t="n">
        <x:f>IF(OR(NOT(ISNUMBER(B31)),NOT(ISNUMBER(C31))),"n.a.",B31*C31)</x:f>
        <x:v>4</x:v>
      </x:c>
      <x:c r="E31" s="18" t="n">
        <x:f>IF(D31="n.a.","n.a.",D31*80000)</x:f>
        <x:v>320000</x:v>
      </x:c>
      <x:c r="F31" s="9" t="str">
        <x:v>Phạm Quang Anh</x:v>
      </x:c>
      <x:c r="G31" s="9" t="str">
        <x:v>Snapshot P13 24/09; contingency dự thảo chưa duyệt, không phải chi thực tế.</x:v>
      </x:c>
    </x:row>
    <x:row r="32" ht="60" customHeight="1">
      <x:c r="A32" s="9" t="str">
        <x:v>R-C-05</x:v>
      </x:c>
      <x:c r="B32" s="17" t="n">
        <x:v>0.7</x:v>
      </x:c>
      <x:c r="C32" s="9" t="n">
        <x:v>12</x:v>
      </x:c>
      <x:c r="D32" s="10" t="n">
        <x:f>0</x:f>
        <x:v>0</x:v>
      </x:c>
      <x:c r="E32" s="18" t="n">
        <x:f>IF(D32="n.a.","n.a.",D32*80000)</x:f>
        <x:v>0</x:v>
      </x:c>
      <x:c r="F32" s="9" t="str">
        <x:v>Nguyễn Thế Chiến</x:v>
      </x:c>
      <x:c r="G32" s="9" t="str">
        <x:v>Không cộng reserve: công việc đã nằm base hoặc trùng rủi ro chung. Exposure tham khảo ở P13.</x:v>
      </x:c>
    </x:row>
    <x:row r="35">
      <x:c r="C35" t="str">
        <x:v>Tổng contingency</x:v>
      </x:c>
      <x:c r="D35" s="16" t="n">
        <x:f>SUM(D8:D32)</x:f>
        <x:v>46.2</x:v>
      </x:c>
      <x:c r="E35" s="16" t="n">
        <x:f>SUM(E8:E32)</x:f>
        <x:v>3696000</x:v>
      </x:c>
    </x:row>
    <x:row r="36">
      <x:c r="C36" t="str">
        <x:v>Công sức + contingency</x:v>
      </x:c>
      <x:c r="D36" s="16" t="n">
        <x:f>'Estimates'!G42+D35</x:f>
        <x:v>645.1999999999999</x:v>
      </x:c>
    </x:row>
    <x:row r="37">
      <x:c r="C37" t="str">
        <x:v>Management reserve giờ</x:v>
      </x:c>
      <x:c r="D37" t="str">
        <x:v>Chưa phân bổ</x:v>
      </x:c>
      <x:c r="G37" t="str">
        <x:v>Không dùng 45h/10% làm reserve mới; 495h chỉ là trần Charter.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>
      <x:c r="A2" s="3" t="str">
        <x:v>P11 — Phân kỳ công sức theo lịch WP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>
      <x:c r="A3" s="2" t="str">
        <x:v>Dự thảo 24/09/2026. Thiếu xác nhận độc lập hoặc nghiệm thu sản phẩm.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</x:row>
    <x:row r="5">
      <x:c r="A5" s="2" t="str">
        <x:v>Tỷ trọng tuần là snapshot P10 24/09. Sửa lịch cần refresh tỷ trọng; đổi O/M/P tự cập nhật giá trị. Contingency giữ ngoài phân kỳ đến khi trigger.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</x:row>
    <x:row r="7" ht="40" customHeight="1">
      <x:c r="A7" s="8" t="str">
        <x:v>WBS</x:v>
      </x:c>
      <x:c r="B7" s="8" t="str">
        <x:v>WP/PP</x:v>
      </x:c>
      <x:c r="C7" s="8" t="str">
        <x:v>Tổng chi phí cơ hội</x:v>
      </x:c>
      <x:c r="D7" s="8" t="str">
        <x:v>Tuần 1 VND</x:v>
      </x:c>
      <x:c r="E7" s="8" t="str">
        <x:v>Tuần 2 VND</x:v>
      </x:c>
      <x:c r="F7" s="8" t="str">
        <x:v>Tuần 3 VND</x:v>
      </x:c>
      <x:c r="G7" s="8" t="str">
        <x:v>Tuần 4 VND</x:v>
      </x:c>
      <x:c r="H7" s="8" t="str">
        <x:v>Tuần 5 VND</x:v>
      </x:c>
      <x:c r="I7" s="8" t="str">
        <x:v>Tuần 6 VND</x:v>
      </x:c>
      <x:c r="J7" s="8" t="str">
        <x:v>Tuần 7 VND</x:v>
      </x:c>
      <x:c r="K7" s="8" t="str">
        <x:v>Tuần 8 VND</x:v>
      </x:c>
      <x:c r="L7" s="8" t="str">
        <x:v>Tuần 9 VND</x:v>
      </x:c>
      <x:c r="M7" s="8" t="str">
        <x:v>Tuần 10 VND</x:v>
      </x:c>
      <x:c r="N7" s="8" t="str">
        <x:v>Tuần 11 VND</x:v>
      </x:c>
      <x:c r="O7" s="8" t="str">
        <x:v>Tuần 12 VND</x:v>
      </x:c>
      <x:c r="P7" s="8" t="str">
        <x:v>Tuần 13 VND</x:v>
      </x:c>
      <x:c r="Q7" s="8" t="str">
        <x:v>Tuần 14 VND</x:v>
      </x:c>
      <x:c r="R7" s="8" t="str">
        <x:v>Tuần 15 VND</x:v>
      </x:c>
      <x:c r="S7" s="8" t="str">
        <x:v>Tuần 16 VND</x:v>
      </x:c>
      <x:c r="T7" s="8" t="str">
        <x:v>Tuần 17 VND</x:v>
      </x:c>
      <x:c r="U7" s="8" t="str">
        <x:v>Tuần 18 VND</x:v>
      </x:c>
      <x:c r="V7" s="8" t="str">
        <x:v>Tuần 19 VND</x:v>
      </x:c>
      <x:c r="W7" s="8" t="str">
        <x:v>Tuần 20 VND</x:v>
      </x:c>
      <x:c r="X7" s="8" t="str">
        <x:v>Tuần 21 VND</x:v>
      </x:c>
      <x:c r="Y7" s="8" t="str">
        <x:v>Tuần 22 VND</x:v>
      </x:c>
      <x:c r="Z7" s="8" t="str">
        <x:v>Tuần 23 VND</x:v>
      </x:c>
      <x:c r="AA7" s="8" t="str">
        <x:v>Tuần 24 VND</x:v>
      </x:c>
      <x:c r="AB7" s="8" t="str">
        <x:v>Tuần 25 VND</x:v>
      </x:c>
      <x:c r="AC7" s="8" t="str">
        <x:v>Tuần 26 VND</x:v>
      </x:c>
      <x:c r="AD7" s="8" t="str">
        <x:v>Tuần 27 VND</x:v>
      </x:c>
      <x:c r="AE7" s="8" t="str">
        <x:v>Tuần 28 VND</x:v>
      </x:c>
      <x:c r="AF7" s="8" t="str">
        <x:v>Tuần 29 VND</x:v>
      </x:c>
      <x:c r="AG7" s="8" t="str">
        <x:v>Tuần 30 VND</x:v>
      </x:c>
      <x:c r="AH7" s="8" t="str">
        <x:v>Tuần 31 VND</x:v>
      </x:c>
      <x:c r="AI7" s="8" t="str">
        <x:v>PP chưa xếp lịch</x:v>
      </x:c>
    </x:row>
    <x:row r="8" ht="40" customHeight="1">
      <x:c r="A8" s="9" t="str">
        <x:v>1.1</x:v>
      </x:c>
      <x:c r="B8" s="9" t="str">
        <x:v>WP</x:v>
      </x:c>
      <x:c r="C8" s="15" t="n">
        <x:f>'Estimates'!I8</x:f>
        <x:v>1840000</x:v>
      </x:c>
      <x:c r="D8" s="15" t="n">
        <x:f>$C8*0.43478260869565216</x:f>
        <x:v>800000</x:v>
      </x:c>
      <x:c r="E8" s="15" t="n">
        <x:f>$C8*0.43478260869565216</x:f>
        <x:v>800000</x:v>
      </x:c>
      <x:c r="F8" s="15" t="n">
        <x:f>$C8*0.13043478260869565</x:f>
        <x:v>240000</x:v>
      </x:c>
      <x:c r="G8" s="15" t="n">
        <x:f>$C8*0</x:f>
        <x:v>0</x:v>
      </x:c>
      <x:c r="H8" s="15" t="n">
        <x:f>$C8*0</x:f>
        <x:v>0</x:v>
      </x:c>
      <x:c r="I8" s="15" t="n">
        <x:f>$C8*0</x:f>
        <x:v>0</x:v>
      </x:c>
      <x:c r="J8" s="15" t="n">
        <x:f>$C8*0</x:f>
        <x:v>0</x:v>
      </x:c>
      <x:c r="K8" s="15" t="n">
        <x:f>$C8*0</x:f>
        <x:v>0</x:v>
      </x:c>
      <x:c r="L8" s="15" t="n">
        <x:f>$C8*0</x:f>
        <x:v>0</x:v>
      </x:c>
      <x:c r="M8" s="15" t="n">
        <x:f>$C8*0</x:f>
        <x:v>0</x:v>
      </x:c>
      <x:c r="N8" s="15" t="n">
        <x:f>$C8*0</x:f>
        <x:v>0</x:v>
      </x:c>
      <x:c r="O8" s="15" t="n">
        <x:f>$C8*0</x:f>
        <x:v>0</x:v>
      </x:c>
      <x:c r="P8" s="15" t="n">
        <x:f>$C8*0</x:f>
        <x:v>0</x:v>
      </x:c>
      <x:c r="Q8" s="15" t="n">
        <x:f>$C8*0</x:f>
        <x:v>0</x:v>
      </x:c>
      <x:c r="R8" s="15" t="n">
        <x:f>$C8*0</x:f>
        <x:v>0</x:v>
      </x:c>
      <x:c r="S8" s="15" t="n">
        <x:f>$C8*0</x:f>
        <x:v>0</x:v>
      </x:c>
      <x:c r="T8" s="15" t="n">
        <x:f>$C8*0</x:f>
        <x:v>0</x:v>
      </x:c>
      <x:c r="U8" s="15" t="n">
        <x:f>$C8*0</x:f>
        <x:v>0</x:v>
      </x:c>
      <x:c r="V8" s="15" t="n">
        <x:f>$C8*0</x:f>
        <x:v>0</x:v>
      </x:c>
      <x:c r="W8" s="15" t="n">
        <x:f>$C8*0</x:f>
        <x:v>0</x:v>
      </x:c>
      <x:c r="X8" s="15" t="n">
        <x:f>$C8*0</x:f>
        <x:v>0</x:v>
      </x:c>
      <x:c r="Y8" s="15" t="n">
        <x:f>$C8*0</x:f>
        <x:v>0</x:v>
      </x:c>
      <x:c r="Z8" s="15" t="n">
        <x:f>$C8*0</x:f>
        <x:v>0</x:v>
      </x:c>
      <x:c r="AA8" s="15" t="n">
        <x:f>$C8*0</x:f>
        <x:v>0</x:v>
      </x:c>
      <x:c r="AB8" s="15" t="n">
        <x:f>$C8*0</x:f>
        <x:v>0</x:v>
      </x:c>
      <x:c r="AC8" s="15" t="n">
        <x:f>$C8*0</x:f>
        <x:v>0</x:v>
      </x:c>
      <x:c r="AD8" s="15" t="n">
        <x:f>$C8*0</x:f>
        <x:v>0</x:v>
      </x:c>
      <x:c r="AE8" s="15" t="n">
        <x:f>$C8*0</x:f>
        <x:v>0</x:v>
      </x:c>
      <x:c r="AF8" s="15" t="n">
        <x:f>$C8*0</x:f>
        <x:v>0</x:v>
      </x:c>
      <x:c r="AG8" s="15" t="n">
        <x:f>$C8*0</x:f>
        <x:v>0</x:v>
      </x:c>
      <x:c r="AH8" s="15" t="n">
        <x:f>$C8*0</x:f>
        <x:v>0</x:v>
      </x:c>
      <x:c r="AI8" s="15" t="n">
        <x:f>0</x:f>
        <x:v>0</x:v>
      </x:c>
    </x:row>
    <x:row r="9" ht="40" customHeight="1">
      <x:c r="A9" s="9" t="str">
        <x:v>1.2</x:v>
      </x:c>
      <x:c r="B9" s="9" t="str">
        <x:v>WP</x:v>
      </x:c>
      <x:c r="C9" s="15" t="n">
        <x:f>'Estimates'!I9</x:f>
        <x:v>2240000</x:v>
      </x:c>
      <x:c r="D9" s="15" t="n">
        <x:f>$C9*0</x:f>
        <x:v>0</x:v>
      </x:c>
      <x:c r="E9" s="15" t="n">
        <x:f>$C9*0</x:f>
        <x:v>0</x:v>
      </x:c>
      <x:c r="F9" s="15" t="n">
        <x:f>$C9*0</x:f>
        <x:v>0</x:v>
      </x:c>
      <x:c r="G9" s="15" t="n">
        <x:f>$C9*0</x:f>
        <x:v>0</x:v>
      </x:c>
      <x:c r="H9" s="15" t="n">
        <x:f>$C9*0</x:f>
        <x:v>0</x:v>
      </x:c>
      <x:c r="I9" s="15" t="n">
        <x:f>$C9*0</x:f>
        <x:v>0</x:v>
      </x:c>
      <x:c r="J9" s="15" t="n">
        <x:f>$C9*0</x:f>
        <x:v>0</x:v>
      </x:c>
      <x:c r="K9" s="15" t="n">
        <x:f>$C9*0</x:f>
        <x:v>0</x:v>
      </x:c>
      <x:c r="L9" s="15" t="n">
        <x:f>$C9*0</x:f>
        <x:v>0</x:v>
      </x:c>
      <x:c r="M9" s="15" t="n">
        <x:f>$C9*0</x:f>
        <x:v>0</x:v>
      </x:c>
      <x:c r="N9" s="15" t="n">
        <x:f>$C9*0</x:f>
        <x:v>0</x:v>
      </x:c>
      <x:c r="O9" s="15" t="n">
        <x:f>$C9*0</x:f>
        <x:v>0</x:v>
      </x:c>
      <x:c r="P9" s="15" t="n">
        <x:f>$C9*0.0595238095238102</x:f>
        <x:v>133333.33333333486</x:v>
      </x:c>
      <x:c r="Q9" s="15" t="n">
        <x:f>$C9*0.35714285714285715</x:f>
        <x:v>800000</x:v>
      </x:c>
      <x:c r="R9" s="15" t="n">
        <x:f>$C9*0.35714285714285715</x:f>
        <x:v>800000</x:v>
      </x:c>
      <x:c r="S9" s="15" t="n">
        <x:f>$C9*0.22619047619047553</x:f>
        <x:v>506666.6666666652</x:v>
      </x:c>
      <x:c r="T9" s="15" t="n">
        <x:f>$C9*0</x:f>
        <x:v>0</x:v>
      </x:c>
      <x:c r="U9" s="15" t="n">
        <x:f>$C9*0</x:f>
        <x:v>0</x:v>
      </x:c>
      <x:c r="V9" s="15" t="n">
        <x:f>$C9*0</x:f>
        <x:v>0</x:v>
      </x:c>
      <x:c r="W9" s="15" t="n">
        <x:f>$C9*0</x:f>
        <x:v>0</x:v>
      </x:c>
      <x:c r="X9" s="15" t="n">
        <x:f>$C9*0</x:f>
        <x:v>0</x:v>
      </x:c>
      <x:c r="Y9" s="15" t="n">
        <x:f>$C9*0</x:f>
        <x:v>0</x:v>
      </x:c>
      <x:c r="Z9" s="15" t="n">
        <x:f>$C9*0</x:f>
        <x:v>0</x:v>
      </x:c>
      <x:c r="AA9" s="15" t="n">
        <x:f>$C9*0</x:f>
        <x:v>0</x:v>
      </x:c>
      <x:c r="AB9" s="15" t="n">
        <x:f>$C9*0</x:f>
        <x:v>0</x:v>
      </x:c>
      <x:c r="AC9" s="15" t="n">
        <x:f>$C9*0</x:f>
        <x:v>0</x:v>
      </x:c>
      <x:c r="AD9" s="15" t="n">
        <x:f>$C9*0</x:f>
        <x:v>0</x:v>
      </x:c>
      <x:c r="AE9" s="15" t="n">
        <x:f>$C9*0</x:f>
        <x:v>0</x:v>
      </x:c>
      <x:c r="AF9" s="15" t="n">
        <x:f>$C9*0</x:f>
        <x:v>0</x:v>
      </x:c>
      <x:c r="AG9" s="15" t="n">
        <x:f>$C9*0</x:f>
        <x:v>0</x:v>
      </x:c>
      <x:c r="AH9" s="15" t="n">
        <x:f>$C9*0</x:f>
        <x:v>0</x:v>
      </x:c>
      <x:c r="AI9" s="15" t="n">
        <x:f>0</x:f>
        <x:v>0</x:v>
      </x:c>
    </x:row>
    <x:row r="10" ht="40" customHeight="1">
      <x:c r="A10" s="9" t="str">
        <x:v>1.3</x:v>
      </x:c>
      <x:c r="B10" s="9" t="str">
        <x:v>WP</x:v>
      </x:c>
      <x:c r="C10" s="15" t="n">
        <x:f>'Estimates'!I10</x:f>
        <x:v>1280000</x:v>
      </x:c>
      <x:c r="D10" s="15" t="n">
        <x:f>$C10*0</x:f>
        <x:v>0</x:v>
      </x:c>
      <x:c r="E10" s="15" t="n">
        <x:f>$C10*0</x:f>
        <x:v>0</x:v>
      </x:c>
      <x:c r="F10" s="15" t="n">
        <x:f>$C10*0</x:f>
        <x:v>0</x:v>
      </x:c>
      <x:c r="G10" s="15" t="n">
        <x:f>$C10*0</x:f>
        <x:v>0</x:v>
      </x:c>
      <x:c r="H10" s="15" t="n">
        <x:f>$C10*0</x:f>
        <x:v>0</x:v>
      </x:c>
      <x:c r="I10" s="15" t="n">
        <x:f>$C10*0</x:f>
        <x:v>0</x:v>
      </x:c>
      <x:c r="J10" s="15" t="n">
        <x:f>$C10*0</x:f>
        <x:v>0</x:v>
      </x:c>
      <x:c r="K10" s="15" t="n">
        <x:f>$C10*0</x:f>
        <x:v>0</x:v>
      </x:c>
      <x:c r="L10" s="15" t="n">
        <x:f>$C10*0</x:f>
        <x:v>0</x:v>
      </x:c>
      <x:c r="M10" s="15" t="n">
        <x:f>$C10*0</x:f>
        <x:v>0</x:v>
      </x:c>
      <x:c r="N10" s="15" t="n">
        <x:f>$C10*0</x:f>
        <x:v>0</x:v>
      </x:c>
      <x:c r="O10" s="15" t="n">
        <x:f>$C10*0</x:f>
        <x:v>0</x:v>
      </x:c>
      <x:c r="P10" s="15" t="n">
        <x:f>$C10*0</x:f>
        <x:v>0</x:v>
      </x:c>
      <x:c r="Q10" s="15" t="n">
        <x:f>$C10*0</x:f>
        <x:v>0</x:v>
      </x:c>
      <x:c r="R10" s="15" t="n">
        <x:f>$C10*0</x:f>
        <x:v>0</x:v>
      </x:c>
      <x:c r="S10" s="15" t="n">
        <x:f>$C10*0.22916666666666785</x:f>
        <x:v>293333.3333333348</x:v>
      </x:c>
      <x:c r="T10" s="15" t="n">
        <x:f>$C10*0.625</x:f>
        <x:v>800000</x:v>
      </x:c>
      <x:c r="U10" s="15" t="n">
        <x:f>$C10*0.14583333333333215</x:f>
        <x:v>186666.66666666514</x:v>
      </x:c>
      <x:c r="V10" s="15" t="n">
        <x:f>$C10*0</x:f>
        <x:v>0</x:v>
      </x:c>
      <x:c r="W10" s="15" t="n">
        <x:f>$C10*0</x:f>
        <x:v>0</x:v>
      </x:c>
      <x:c r="X10" s="15" t="n">
        <x:f>$C10*0</x:f>
        <x:v>0</x:v>
      </x:c>
      <x:c r="Y10" s="15" t="n">
        <x:f>$C10*0</x:f>
        <x:v>0</x:v>
      </x:c>
      <x:c r="Z10" s="15" t="n">
        <x:f>$C10*0</x:f>
        <x:v>0</x:v>
      </x:c>
      <x:c r="AA10" s="15" t="n">
        <x:f>$C10*0</x:f>
        <x:v>0</x:v>
      </x:c>
      <x:c r="AB10" s="15" t="n">
        <x:f>$C10*0</x:f>
        <x:v>0</x:v>
      </x:c>
      <x:c r="AC10" s="15" t="n">
        <x:f>$C10*0</x:f>
        <x:v>0</x:v>
      </x:c>
      <x:c r="AD10" s="15" t="n">
        <x:f>$C10*0</x:f>
        <x:v>0</x:v>
      </x:c>
      <x:c r="AE10" s="15" t="n">
        <x:f>$C10*0</x:f>
        <x:v>0</x:v>
      </x:c>
      <x:c r="AF10" s="15" t="n">
        <x:f>$C10*0</x:f>
        <x:v>0</x:v>
      </x:c>
      <x:c r="AG10" s="15" t="n">
        <x:f>$C10*0</x:f>
        <x:v>0</x:v>
      </x:c>
      <x:c r="AH10" s="15" t="n">
        <x:f>$C10*0</x:f>
        <x:v>0</x:v>
      </x:c>
      <x:c r="AI10" s="15" t="n">
        <x:f>0</x:f>
        <x:v>0</x:v>
      </x:c>
    </x:row>
    <x:row r="11" ht="40" customHeight="1">
      <x:c r="A11" s="9" t="str">
        <x:v>2.1</x:v>
      </x:c>
      <x:c r="B11" s="9" t="str">
        <x:v>WP</x:v>
      </x:c>
      <x:c r="C11" s="15" t="n">
        <x:f>'Estimates'!I11</x:f>
        <x:v>960000</x:v>
      </x:c>
      <x:c r="D11" s="15" t="n">
        <x:f>$C11*0</x:f>
        <x:v>0</x:v>
      </x:c>
      <x:c r="E11" s="15" t="n">
        <x:f>$C11*0</x:f>
        <x:v>0</x:v>
      </x:c>
      <x:c r="F11" s="15" t="n">
        <x:f>$C11*0.5833333333333334</x:f>
        <x:v>560000</x:v>
      </x:c>
      <x:c r="G11" s="15" t="n">
        <x:f>$C11*0.4166666666666667</x:f>
        <x:v>400000</x:v>
      </x:c>
      <x:c r="H11" s="15" t="n">
        <x:f>$C11*0</x:f>
        <x:v>0</x:v>
      </x:c>
      <x:c r="I11" s="15" t="n">
        <x:f>$C11*0</x:f>
        <x:v>0</x:v>
      </x:c>
      <x:c r="J11" s="15" t="n">
        <x:f>$C11*0</x:f>
        <x:v>0</x:v>
      </x:c>
      <x:c r="K11" s="15" t="n">
        <x:f>$C11*0</x:f>
        <x:v>0</x:v>
      </x:c>
      <x:c r="L11" s="15" t="n">
        <x:f>$C11*0</x:f>
        <x:v>0</x:v>
      </x:c>
      <x:c r="M11" s="15" t="n">
        <x:f>$C11*0</x:f>
        <x:v>0</x:v>
      </x:c>
      <x:c r="N11" s="15" t="n">
        <x:f>$C11*0</x:f>
        <x:v>0</x:v>
      </x:c>
      <x:c r="O11" s="15" t="n">
        <x:f>$C11*0</x:f>
        <x:v>0</x:v>
      </x:c>
      <x:c r="P11" s="15" t="n">
        <x:f>$C11*0</x:f>
        <x:v>0</x:v>
      </x:c>
      <x:c r="Q11" s="15" t="n">
        <x:f>$C11*0</x:f>
        <x:v>0</x:v>
      </x:c>
      <x:c r="R11" s="15" t="n">
        <x:f>$C11*0</x:f>
        <x:v>0</x:v>
      </x:c>
      <x:c r="S11" s="15" t="n">
        <x:f>$C11*0</x:f>
        <x:v>0</x:v>
      </x:c>
      <x:c r="T11" s="15" t="n">
        <x:f>$C11*0</x:f>
        <x:v>0</x:v>
      </x:c>
      <x:c r="U11" s="15" t="n">
        <x:f>$C11*0</x:f>
        <x:v>0</x:v>
      </x:c>
      <x:c r="V11" s="15" t="n">
        <x:f>$C11*0</x:f>
        <x:v>0</x:v>
      </x:c>
      <x:c r="W11" s="15" t="n">
        <x:f>$C11*0</x:f>
        <x:v>0</x:v>
      </x:c>
      <x:c r="X11" s="15" t="n">
        <x:f>$C11*0</x:f>
        <x:v>0</x:v>
      </x:c>
      <x:c r="Y11" s="15" t="n">
        <x:f>$C11*0</x:f>
        <x:v>0</x:v>
      </x:c>
      <x:c r="Z11" s="15" t="n">
        <x:f>$C11*0</x:f>
        <x:v>0</x:v>
      </x:c>
      <x:c r="AA11" s="15" t="n">
        <x:f>$C11*0</x:f>
        <x:v>0</x:v>
      </x:c>
      <x:c r="AB11" s="15" t="n">
        <x:f>$C11*0</x:f>
        <x:v>0</x:v>
      </x:c>
      <x:c r="AC11" s="15" t="n">
        <x:f>$C11*0</x:f>
        <x:v>0</x:v>
      </x:c>
      <x:c r="AD11" s="15" t="n">
        <x:f>$C11*0</x:f>
        <x:v>0</x:v>
      </x:c>
      <x:c r="AE11" s="15" t="n">
        <x:f>$C11*0</x:f>
        <x:v>0</x:v>
      </x:c>
      <x:c r="AF11" s="15" t="n">
        <x:f>$C11*0</x:f>
        <x:v>0</x:v>
      </x:c>
      <x:c r="AG11" s="15" t="n">
        <x:f>$C11*0</x:f>
        <x:v>0</x:v>
      </x:c>
      <x:c r="AH11" s="15" t="n">
        <x:f>$C11*0</x:f>
        <x:v>0</x:v>
      </x:c>
      <x:c r="AI11" s="15" t="n">
        <x:f>0</x:f>
        <x:v>0</x:v>
      </x:c>
    </x:row>
    <x:row r="12" ht="40" customHeight="1">
      <x:c r="A12" s="9" t="str">
        <x:v>2.2</x:v>
      </x:c>
      <x:c r="B12" s="9" t="str">
        <x:v>WP</x:v>
      </x:c>
      <x:c r="C12" s="15" t="n">
        <x:f>'Estimates'!I12</x:f>
        <x:v>640000</x:v>
      </x:c>
      <x:c r="D12" s="15" t="n">
        <x:f>$C12*0</x:f>
        <x:v>0</x:v>
      </x:c>
      <x:c r="E12" s="15" t="n">
        <x:f>$C12*0</x:f>
        <x:v>0</x:v>
      </x:c>
      <x:c r="F12" s="15" t="n">
        <x:f>$C12*0</x:f>
        <x:v>0</x:v>
      </x:c>
      <x:c r="G12" s="15" t="n">
        <x:f>$C12*0</x:f>
        <x:v>0</x:v>
      </x:c>
      <x:c r="H12" s="15" t="n">
        <x:f>$C12*0</x:f>
        <x:v>0</x:v>
      </x:c>
      <x:c r="I12" s="15" t="n">
        <x:f>$C12*0</x:f>
        <x:v>0</x:v>
      </x:c>
      <x:c r="J12" s="15" t="n">
        <x:f>$C12*0</x:f>
        <x:v>0</x:v>
      </x:c>
      <x:c r="K12" s="15" t="n">
        <x:f>$C12*0</x:f>
        <x:v>0</x:v>
      </x:c>
      <x:c r="L12" s="15" t="n">
        <x:f>$C12*0</x:f>
        <x:v>0</x:v>
      </x:c>
      <x:c r="M12" s="15" t="n">
        <x:f>$C12*0</x:f>
        <x:v>0</x:v>
      </x:c>
      <x:c r="N12" s="15" t="n">
        <x:f>$C12*0</x:f>
        <x:v>0</x:v>
      </x:c>
      <x:c r="O12" s="15" t="n">
        <x:f>$C12*0</x:f>
        <x:v>0</x:v>
      </x:c>
      <x:c r="P12" s="15" t="n">
        <x:f>$C12*0</x:f>
        <x:v>0</x:v>
      </x:c>
      <x:c r="Q12" s="15" t="n">
        <x:f>$C12*0</x:f>
        <x:v>0</x:v>
      </x:c>
      <x:c r="R12" s="15" t="n">
        <x:f>$C12*0</x:f>
        <x:v>0</x:v>
      </x:c>
      <x:c r="S12" s="15" t="n">
        <x:f>$C12*0.4583333333333357</x:f>
        <x:v>293333.3333333348</x:v>
      </x:c>
      <x:c r="T12" s="15" t="n">
        <x:f>$C12*0.5416666666666643</x:f>
        <x:v>346666.6666666652</x:v>
      </x:c>
      <x:c r="U12" s="15" t="n">
        <x:f>$C12*0</x:f>
        <x:v>0</x:v>
      </x:c>
      <x:c r="V12" s="15" t="n">
        <x:f>$C12*0</x:f>
        <x:v>0</x:v>
      </x:c>
      <x:c r="W12" s="15" t="n">
        <x:f>$C12*0</x:f>
        <x:v>0</x:v>
      </x:c>
      <x:c r="X12" s="15" t="n">
        <x:f>$C12*0</x:f>
        <x:v>0</x:v>
      </x:c>
      <x:c r="Y12" s="15" t="n">
        <x:f>$C12*0</x:f>
        <x:v>0</x:v>
      </x:c>
      <x:c r="Z12" s="15" t="n">
        <x:f>$C12*0</x:f>
        <x:v>0</x:v>
      </x:c>
      <x:c r="AA12" s="15" t="n">
        <x:f>$C12*0</x:f>
        <x:v>0</x:v>
      </x:c>
      <x:c r="AB12" s="15" t="n">
        <x:f>$C12*0</x:f>
        <x:v>0</x:v>
      </x:c>
      <x:c r="AC12" s="15" t="n">
        <x:f>$C12*0</x:f>
        <x:v>0</x:v>
      </x:c>
      <x:c r="AD12" s="15" t="n">
        <x:f>$C12*0</x:f>
        <x:v>0</x:v>
      </x:c>
      <x:c r="AE12" s="15" t="n">
        <x:f>$C12*0</x:f>
        <x:v>0</x:v>
      </x:c>
      <x:c r="AF12" s="15" t="n">
        <x:f>$C12*0</x:f>
        <x:v>0</x:v>
      </x:c>
      <x:c r="AG12" s="15" t="n">
        <x:f>$C12*0</x:f>
        <x:v>0</x:v>
      </x:c>
      <x:c r="AH12" s="15" t="n">
        <x:f>$C12*0</x:f>
        <x:v>0</x:v>
      </x:c>
      <x:c r="AI12" s="15" t="n">
        <x:f>0</x:f>
        <x:v>0</x:v>
      </x:c>
    </x:row>
    <x:row r="13" ht="40" customHeight="1">
      <x:c r="A13" s="9" t="str">
        <x:v>3.1</x:v>
      </x:c>
      <x:c r="B13" s="9" t="str">
        <x:v>WP</x:v>
      </x:c>
      <x:c r="C13" s="15" t="n">
        <x:f>'Estimates'!I13</x:f>
        <x:v>800000</x:v>
      </x:c>
      <x:c r="D13" s="15" t="n">
        <x:f>$C13*0</x:f>
        <x:v>0</x:v>
      </x:c>
      <x:c r="E13" s="15" t="n">
        <x:f>$C13*0</x:f>
        <x:v>0</x:v>
      </x:c>
      <x:c r="F13" s="15" t="n">
        <x:f>$C13*0</x:f>
        <x:v>0</x:v>
      </x:c>
      <x:c r="G13" s="15" t="n">
        <x:f>$C13*0.5</x:f>
        <x:v>400000</x:v>
      </x:c>
      <x:c r="H13" s="15" t="n">
        <x:f>$C13*0.5</x:f>
        <x:v>400000</x:v>
      </x:c>
      <x:c r="I13" s="15" t="n">
        <x:f>$C13*0</x:f>
        <x:v>0</x:v>
      </x:c>
      <x:c r="J13" s="15" t="n">
        <x:f>$C13*0</x:f>
        <x:v>0</x:v>
      </x:c>
      <x:c r="K13" s="15" t="n">
        <x:f>$C13*0</x:f>
        <x:v>0</x:v>
      </x:c>
      <x:c r="L13" s="15" t="n">
        <x:f>$C13*0</x:f>
        <x:v>0</x:v>
      </x:c>
      <x:c r="M13" s="15" t="n">
        <x:f>$C13*0</x:f>
        <x:v>0</x:v>
      </x:c>
      <x:c r="N13" s="15" t="n">
        <x:f>$C13*0</x:f>
        <x:v>0</x:v>
      </x:c>
      <x:c r="O13" s="15" t="n">
        <x:f>$C13*0</x:f>
        <x:v>0</x:v>
      </x:c>
      <x:c r="P13" s="15" t="n">
        <x:f>$C13*0</x:f>
        <x:v>0</x:v>
      </x:c>
      <x:c r="Q13" s="15" t="n">
        <x:f>$C13*0</x:f>
        <x:v>0</x:v>
      </x:c>
      <x:c r="R13" s="15" t="n">
        <x:f>$C13*0</x:f>
        <x:v>0</x:v>
      </x:c>
      <x:c r="S13" s="15" t="n">
        <x:f>$C13*0</x:f>
        <x:v>0</x:v>
      </x:c>
      <x:c r="T13" s="15" t="n">
        <x:f>$C13*0</x:f>
        <x:v>0</x:v>
      </x:c>
      <x:c r="U13" s="15" t="n">
        <x:f>$C13*0</x:f>
        <x:v>0</x:v>
      </x:c>
      <x:c r="V13" s="15" t="n">
        <x:f>$C13*0</x:f>
        <x:v>0</x:v>
      </x:c>
      <x:c r="W13" s="15" t="n">
        <x:f>$C13*0</x:f>
        <x:v>0</x:v>
      </x:c>
      <x:c r="X13" s="15" t="n">
        <x:f>$C13*0</x:f>
        <x:v>0</x:v>
      </x:c>
      <x:c r="Y13" s="15" t="n">
        <x:f>$C13*0</x:f>
        <x:v>0</x:v>
      </x:c>
      <x:c r="Z13" s="15" t="n">
        <x:f>$C13*0</x:f>
        <x:v>0</x:v>
      </x:c>
      <x:c r="AA13" s="15" t="n">
        <x:f>$C13*0</x:f>
        <x:v>0</x:v>
      </x:c>
      <x:c r="AB13" s="15" t="n">
        <x:f>$C13*0</x:f>
        <x:v>0</x:v>
      </x:c>
      <x:c r="AC13" s="15" t="n">
        <x:f>$C13*0</x:f>
        <x:v>0</x:v>
      </x:c>
      <x:c r="AD13" s="15" t="n">
        <x:f>$C13*0</x:f>
        <x:v>0</x:v>
      </x:c>
      <x:c r="AE13" s="15" t="n">
        <x:f>$C13*0</x:f>
        <x:v>0</x:v>
      </x:c>
      <x:c r="AF13" s="15" t="n">
        <x:f>$C13*0</x:f>
        <x:v>0</x:v>
      </x:c>
      <x:c r="AG13" s="15" t="n">
        <x:f>$C13*0</x:f>
        <x:v>0</x:v>
      </x:c>
      <x:c r="AH13" s="15" t="n">
        <x:f>$C13*0</x:f>
        <x:v>0</x:v>
      </x:c>
      <x:c r="AI13" s="15" t="n">
        <x:f>0</x:f>
        <x:v>0</x:v>
      </x:c>
    </x:row>
    <x:row r="14" ht="40" customHeight="1">
      <x:c r="A14" s="9" t="str">
        <x:v>3.2</x:v>
      </x:c>
      <x:c r="B14" s="9" t="str">
        <x:v>WP</x:v>
      </x:c>
      <x:c r="C14" s="15" t="n">
        <x:f>'Estimates'!I14</x:f>
        <x:v>1866666.6666666665</x:v>
      </x:c>
      <x:c r="D14" s="15" t="n">
        <x:f>$C14*0</x:f>
        <x:v>0</x:v>
      </x:c>
      <x:c r="E14" s="15" t="n">
        <x:f>$C14*0</x:f>
        <x:v>0</x:v>
      </x:c>
      <x:c r="F14" s="15" t="n">
        <x:f>$C14*0</x:f>
        <x:v>0</x:v>
      </x:c>
      <x:c r="G14" s="15" t="n">
        <x:f>$C14*0</x:f>
        <x:v>0</x:v>
      </x:c>
      <x:c r="H14" s="15" t="n">
        <x:f>$C14*0.2142857142857143</x:f>
        <x:v>400000</x:v>
      </x:c>
      <x:c r="I14" s="15" t="n">
        <x:f>$C14*0.4285714285714286</x:f>
        <x:v>800000</x:v>
      </x:c>
      <x:c r="J14" s="15" t="n">
        <x:f>$C14*0.357142857142857</x:f>
        <x:v>666666.6666666663</x:v>
      </x:c>
      <x:c r="K14" s="15" t="n">
        <x:f>$C14*0</x:f>
        <x:v>0</x:v>
      </x:c>
      <x:c r="L14" s="15" t="n">
        <x:f>$C14*0</x:f>
        <x:v>0</x:v>
      </x:c>
      <x:c r="M14" s="15" t="n">
        <x:f>$C14*0</x:f>
        <x:v>0</x:v>
      </x:c>
      <x:c r="N14" s="15" t="n">
        <x:f>$C14*0</x:f>
        <x:v>0</x:v>
      </x:c>
      <x:c r="O14" s="15" t="n">
        <x:f>$C14*0</x:f>
        <x:v>0</x:v>
      </x:c>
      <x:c r="P14" s="15" t="n">
        <x:f>$C14*0</x:f>
        <x:v>0</x:v>
      </x:c>
      <x:c r="Q14" s="15" t="n">
        <x:f>$C14*0</x:f>
        <x:v>0</x:v>
      </x:c>
      <x:c r="R14" s="15" t="n">
        <x:f>$C14*0</x:f>
        <x:v>0</x:v>
      </x:c>
      <x:c r="S14" s="15" t="n">
        <x:f>$C14*0</x:f>
        <x:v>0</x:v>
      </x:c>
      <x:c r="T14" s="15" t="n">
        <x:f>$C14*0</x:f>
        <x:v>0</x:v>
      </x:c>
      <x:c r="U14" s="15" t="n">
        <x:f>$C14*0</x:f>
        <x:v>0</x:v>
      </x:c>
      <x:c r="V14" s="15" t="n">
        <x:f>$C14*0</x:f>
        <x:v>0</x:v>
      </x:c>
      <x:c r="W14" s="15" t="n">
        <x:f>$C14*0</x:f>
        <x:v>0</x:v>
      </x:c>
      <x:c r="X14" s="15" t="n">
        <x:f>$C14*0</x:f>
        <x:v>0</x:v>
      </x:c>
      <x:c r="Y14" s="15" t="n">
        <x:f>$C14*0</x:f>
        <x:v>0</x:v>
      </x:c>
      <x:c r="Z14" s="15" t="n">
        <x:f>$C14*0</x:f>
        <x:v>0</x:v>
      </x:c>
      <x:c r="AA14" s="15" t="n">
        <x:f>$C14*0</x:f>
        <x:v>0</x:v>
      </x:c>
      <x:c r="AB14" s="15" t="n">
        <x:f>$C14*0</x:f>
        <x:v>0</x:v>
      </x:c>
      <x:c r="AC14" s="15" t="n">
        <x:f>$C14*0</x:f>
        <x:v>0</x:v>
      </x:c>
      <x:c r="AD14" s="15" t="n">
        <x:f>$C14*0</x:f>
        <x:v>0</x:v>
      </x:c>
      <x:c r="AE14" s="15" t="n">
        <x:f>$C14*0</x:f>
        <x:v>0</x:v>
      </x:c>
      <x:c r="AF14" s="15" t="n">
        <x:f>$C14*0</x:f>
        <x:v>0</x:v>
      </x:c>
      <x:c r="AG14" s="15" t="n">
        <x:f>$C14*0</x:f>
        <x:v>0</x:v>
      </x:c>
      <x:c r="AH14" s="15" t="n">
        <x:f>$C14*0</x:f>
        <x:v>0</x:v>
      </x:c>
      <x:c r="AI14" s="15" t="n">
        <x:f>0</x:f>
        <x:v>0</x:v>
      </x:c>
    </x:row>
    <x:row r="15" ht="40" customHeight="1">
      <x:c r="A15" s="9" t="str">
        <x:v>4.1</x:v>
      </x:c>
      <x:c r="B15" s="9" t="str">
        <x:v>WP</x:v>
      </x:c>
      <x:c r="C15" s="15" t="n">
        <x:f>'Estimates'!I15</x:f>
        <x:v>1920000</x:v>
      </x:c>
      <x:c r="D15" s="15" t="n">
        <x:f>$C15*0</x:f>
        <x:v>0</x:v>
      </x:c>
      <x:c r="E15" s="15" t="n">
        <x:f>$C15*0</x:f>
        <x:v>0</x:v>
      </x:c>
      <x:c r="F15" s="15" t="n">
        <x:f>$C15*0</x:f>
        <x:v>0</x:v>
      </x:c>
      <x:c r="G15" s="15" t="n">
        <x:f>$C15*0</x:f>
        <x:v>0</x:v>
      </x:c>
      <x:c r="H15" s="15" t="n">
        <x:f>$C15*0</x:f>
        <x:v>0</x:v>
      </x:c>
      <x:c r="I15" s="15" t="n">
        <x:f>$C15*0</x:f>
        <x:v>0</x:v>
      </x:c>
      <x:c r="J15" s="15" t="n">
        <x:f>$C15*0</x:f>
        <x:v>0</x:v>
      </x:c>
      <x:c r="K15" s="15" t="n">
        <x:f>$C15*0</x:f>
        <x:v>0</x:v>
      </x:c>
      <x:c r="L15" s="15" t="n">
        <x:f>$C15*0</x:f>
        <x:v>0</x:v>
      </x:c>
      <x:c r="M15" s="15" t="n">
        <x:f>$C15*0</x:f>
        <x:v>0</x:v>
      </x:c>
      <x:c r="N15" s="15" t="n">
        <x:f>$C15*0</x:f>
        <x:v>0</x:v>
      </x:c>
      <x:c r="O15" s="15" t="n">
        <x:f>$C15*0</x:f>
        <x:v>0</x:v>
      </x:c>
      <x:c r="P15" s="15" t="n">
        <x:f>$C15*0</x:f>
        <x:v>0</x:v>
      </x:c>
      <x:c r="Q15" s="15" t="n">
        <x:f>$C15*0</x:f>
        <x:v>0</x:v>
      </x:c>
      <x:c r="R15" s="15" t="n">
        <x:f>$C15*0</x:f>
        <x:v>0</x:v>
      </x:c>
      <x:c r="S15" s="15" t="n">
        <x:f>$C15*0</x:f>
        <x:v>0</x:v>
      </x:c>
      <x:c r="T15" s="15" t="n">
        <x:f>$C15*0</x:f>
        <x:v>0</x:v>
      </x:c>
      <x:c r="U15" s="15" t="n">
        <x:f>$C15*0.31944444444444525</x:f>
        <x:v>613333.3333333349</x:v>
      </x:c>
      <x:c r="V15" s="15" t="n">
        <x:f>$C15*0.4166666666666667</x:f>
        <x:v>800000</x:v>
      </x:c>
      <x:c r="W15" s="15" t="n">
        <x:f>$C15*0.2638888888888881</x:f>
        <x:v>506666.6666666652</x:v>
      </x:c>
      <x:c r="X15" s="15" t="n">
        <x:f>$C15*0</x:f>
        <x:v>0</x:v>
      </x:c>
      <x:c r="Y15" s="15" t="n">
        <x:f>$C15*0</x:f>
        <x:v>0</x:v>
      </x:c>
      <x:c r="Z15" s="15" t="n">
        <x:f>$C15*0</x:f>
        <x:v>0</x:v>
      </x:c>
      <x:c r="AA15" s="15" t="n">
        <x:f>$C15*0</x:f>
        <x:v>0</x:v>
      </x:c>
      <x:c r="AB15" s="15" t="n">
        <x:f>$C15*0</x:f>
        <x:v>0</x:v>
      </x:c>
      <x:c r="AC15" s="15" t="n">
        <x:f>$C15*0</x:f>
        <x:v>0</x:v>
      </x:c>
      <x:c r="AD15" s="15" t="n">
        <x:f>$C15*0</x:f>
        <x:v>0</x:v>
      </x:c>
      <x:c r="AE15" s="15" t="n">
        <x:f>$C15*0</x:f>
        <x:v>0</x:v>
      </x:c>
      <x:c r="AF15" s="15" t="n">
        <x:f>$C15*0</x:f>
        <x:v>0</x:v>
      </x:c>
      <x:c r="AG15" s="15" t="n">
        <x:f>$C15*0</x:f>
        <x:v>0</x:v>
      </x:c>
      <x:c r="AH15" s="15" t="n">
        <x:f>$C15*0</x:f>
        <x:v>0</x:v>
      </x:c>
      <x:c r="AI15" s="15" t="n">
        <x:f>0</x:f>
        <x:v>0</x:v>
      </x:c>
    </x:row>
    <x:row r="16" ht="40" customHeight="1">
      <x:c r="A16" s="9" t="str">
        <x:v>4.2.1</x:v>
      </x:c>
      <x:c r="B16" s="9" t="str">
        <x:v>WP</x:v>
      </x:c>
      <x:c r="C16" s="15" t="n">
        <x:f>'Estimates'!I16</x:f>
        <x:v>2293333.3333333335</x:v>
      </x:c>
      <x:c r="D16" s="15" t="n">
        <x:f>$C16*0</x:f>
        <x:v>0</x:v>
      </x:c>
      <x:c r="E16" s="15" t="n">
        <x:f>$C16*0</x:f>
        <x:v>0</x:v>
      </x:c>
      <x:c r="F16" s="15" t="n">
        <x:f>$C16*0</x:f>
        <x:v>0</x:v>
      </x:c>
      <x:c r="G16" s="15" t="n">
        <x:f>$C16*0</x:f>
        <x:v>0</x:v>
      </x:c>
      <x:c r="H16" s="15" t="n">
        <x:f>$C16*0</x:f>
        <x:v>0</x:v>
      </x:c>
      <x:c r="I16" s="15" t="n">
        <x:f>$C16*0</x:f>
        <x:v>0</x:v>
      </x:c>
      <x:c r="J16" s="15" t="n">
        <x:f>$C16*0</x:f>
        <x:v>0</x:v>
      </x:c>
      <x:c r="K16" s="15" t="n">
        <x:f>$C16*0</x:f>
        <x:v>0</x:v>
      </x:c>
      <x:c r="L16" s="15" t="n">
        <x:f>$C16*0</x:f>
        <x:v>0</x:v>
      </x:c>
      <x:c r="M16" s="15" t="n">
        <x:f>$C16*0</x:f>
        <x:v>0</x:v>
      </x:c>
      <x:c r="N16" s="15" t="n">
        <x:f>$C16*0</x:f>
        <x:v>0</x:v>
      </x:c>
      <x:c r="O16" s="15" t="n">
        <x:f>$C16*0</x:f>
        <x:v>0</x:v>
      </x:c>
      <x:c r="P16" s="15" t="n">
        <x:f>$C16*0</x:f>
        <x:v>0</x:v>
      </x:c>
      <x:c r="Q16" s="15" t="n">
        <x:f>$C16*0</x:f>
        <x:v>0</x:v>
      </x:c>
      <x:c r="R16" s="15" t="n">
        <x:f>$C16*0</x:f>
        <x:v>0</x:v>
      </x:c>
      <x:c r="S16" s="15" t="n">
        <x:f>$C16*0</x:f>
        <x:v>0</x:v>
      </x:c>
      <x:c r="T16" s="15" t="n">
        <x:f>$C16*0</x:f>
        <x:v>0</x:v>
      </x:c>
      <x:c r="U16" s="15" t="n">
        <x:f>$C16*0</x:f>
        <x:v>0</x:v>
      </x:c>
      <x:c r="V16" s="15" t="n">
        <x:f>$C16*0</x:f>
        <x:v>0</x:v>
      </x:c>
      <x:c r="W16" s="15" t="n">
        <x:f>$C16*0.1279069767441867</x:f>
        <x:v>293333.3333333348</x:v>
      </x:c>
      <x:c r="X16" s="15" t="n">
        <x:f>$C16*0.3488372093023256</x:f>
        <x:v>800000.0000000001</x:v>
      </x:c>
      <x:c r="Y16" s="15" t="n">
        <x:f>$C16*0.3488372093023256</x:f>
        <x:v>800000.0000000001</x:v>
      </x:c>
      <x:c r="Z16" s="15" t="n">
        <x:f>$C16*0.1744186046511618</x:f>
        <x:v>399999.99999999773</x:v>
      </x:c>
      <x:c r="AA16" s="15" t="n">
        <x:f>$C16*0</x:f>
        <x:v>0</x:v>
      </x:c>
      <x:c r="AB16" s="15" t="n">
        <x:f>$C16*0</x:f>
        <x:v>0</x:v>
      </x:c>
      <x:c r="AC16" s="15" t="n">
        <x:f>$C16*0</x:f>
        <x:v>0</x:v>
      </x:c>
      <x:c r="AD16" s="15" t="n">
        <x:f>$C16*0</x:f>
        <x:v>0</x:v>
      </x:c>
      <x:c r="AE16" s="15" t="n">
        <x:f>$C16*0</x:f>
        <x:v>0</x:v>
      </x:c>
      <x:c r="AF16" s="15" t="n">
        <x:f>$C16*0</x:f>
        <x:v>0</x:v>
      </x:c>
      <x:c r="AG16" s="15" t="n">
        <x:f>$C16*0</x:f>
        <x:v>0</x:v>
      </x:c>
      <x:c r="AH16" s="15" t="n">
        <x:f>$C16*0</x:f>
        <x:v>0</x:v>
      </x:c>
      <x:c r="AI16" s="15" t="n">
        <x:f>0</x:f>
        <x:v>0</x:v>
      </x:c>
    </x:row>
    <x:row r="17" ht="40" customHeight="1">
      <x:c r="A17" s="9" t="str">
        <x:v>4.2.2</x:v>
      </x:c>
      <x:c r="B17" s="9" t="str">
        <x:v>WP</x:v>
      </x:c>
      <x:c r="C17" s="15" t="n">
        <x:f>'Estimates'!I17</x:f>
        <x:v>1066666.6666666667</x:v>
      </x:c>
      <x:c r="D17" s="15" t="n">
        <x:f>$C17*0</x:f>
        <x:v>0</x:v>
      </x:c>
      <x:c r="E17" s="15" t="n">
        <x:f>$C17*0</x:f>
        <x:v>0</x:v>
      </x:c>
      <x:c r="F17" s="15" t="n">
        <x:f>$C17*0</x:f>
        <x:v>0</x:v>
      </x:c>
      <x:c r="G17" s="15" t="n">
        <x:f>$C17*0</x:f>
        <x:v>0</x:v>
      </x:c>
      <x:c r="H17" s="15" t="n">
        <x:f>$C17*0</x:f>
        <x:v>0</x:v>
      </x:c>
      <x:c r="I17" s="15" t="n">
        <x:f>$C17*0</x:f>
        <x:v>0</x:v>
      </x:c>
      <x:c r="J17" s="15" t="n">
        <x:f>$C17*0</x:f>
        <x:v>0</x:v>
      </x:c>
      <x:c r="K17" s="15" t="n">
        <x:f>$C17*0</x:f>
        <x:v>0</x:v>
      </x:c>
      <x:c r="L17" s="15" t="n">
        <x:f>$C17*0</x:f>
        <x:v>0</x:v>
      </x:c>
      <x:c r="M17" s="15" t="n">
        <x:f>$C17*0.525</x:f>
        <x:v>560000.0000000001</x:v>
      </x:c>
      <x:c r="N17" s="15" t="n">
        <x:f>$C17*0.47499999999999964</x:f>
        <x:v>506666.66666666634</x:v>
      </x:c>
      <x:c r="O17" s="15" t="n">
        <x:f>$C17*0</x:f>
        <x:v>0</x:v>
      </x:c>
      <x:c r="P17" s="15" t="n">
        <x:f>$C17*0</x:f>
        <x:v>0</x:v>
      </x:c>
      <x:c r="Q17" s="15" t="n">
        <x:f>$C17*0</x:f>
        <x:v>0</x:v>
      </x:c>
      <x:c r="R17" s="15" t="n">
        <x:f>$C17*0</x:f>
        <x:v>0</x:v>
      </x:c>
      <x:c r="S17" s="15" t="n">
        <x:f>$C17*0</x:f>
        <x:v>0</x:v>
      </x:c>
      <x:c r="T17" s="15" t="n">
        <x:f>$C17*0</x:f>
        <x:v>0</x:v>
      </x:c>
      <x:c r="U17" s="15" t="n">
        <x:f>$C17*0</x:f>
        <x:v>0</x:v>
      </x:c>
      <x:c r="V17" s="15" t="n">
        <x:f>$C17*0</x:f>
        <x:v>0</x:v>
      </x:c>
      <x:c r="W17" s="15" t="n">
        <x:f>$C17*0</x:f>
        <x:v>0</x:v>
      </x:c>
      <x:c r="X17" s="15" t="n">
        <x:f>$C17*0</x:f>
        <x:v>0</x:v>
      </x:c>
      <x:c r="Y17" s="15" t="n">
        <x:f>$C17*0</x:f>
        <x:v>0</x:v>
      </x:c>
      <x:c r="Z17" s="15" t="n">
        <x:f>$C17*0</x:f>
        <x:v>0</x:v>
      </x:c>
      <x:c r="AA17" s="15" t="n">
        <x:f>$C17*0</x:f>
        <x:v>0</x:v>
      </x:c>
      <x:c r="AB17" s="15" t="n">
        <x:f>$C17*0</x:f>
        <x:v>0</x:v>
      </x:c>
      <x:c r="AC17" s="15" t="n">
        <x:f>$C17*0</x:f>
        <x:v>0</x:v>
      </x:c>
      <x:c r="AD17" s="15" t="n">
        <x:f>$C17*0</x:f>
        <x:v>0</x:v>
      </x:c>
      <x:c r="AE17" s="15" t="n">
        <x:f>$C17*0</x:f>
        <x:v>0</x:v>
      </x:c>
      <x:c r="AF17" s="15" t="n">
        <x:f>$C17*0</x:f>
        <x:v>0</x:v>
      </x:c>
      <x:c r="AG17" s="15" t="n">
        <x:f>$C17*0</x:f>
        <x:v>0</x:v>
      </x:c>
      <x:c r="AH17" s="15" t="n">
        <x:f>$C17*0</x:f>
        <x:v>0</x:v>
      </x:c>
      <x:c r="AI17" s="15" t="n">
        <x:f>0</x:f>
        <x:v>0</x:v>
      </x:c>
    </x:row>
    <x:row r="18" ht="40" customHeight="1">
      <x:c r="A18" s="9" t="str">
        <x:v>4.2.3</x:v>
      </x:c>
      <x:c r="B18" s="9" t="str">
        <x:v>WP</x:v>
      </x:c>
      <x:c r="C18" s="15" t="n">
        <x:f>'Estimates'!I18</x:f>
        <x:v>1973333.3333333335</x:v>
      </x:c>
      <x:c r="D18" s="15" t="n">
        <x:f>$C18*0</x:f>
        <x:v>0</x:v>
      </x:c>
      <x:c r="E18" s="15" t="n">
        <x:f>$C18*0</x:f>
        <x:v>0</x:v>
      </x:c>
      <x:c r="F18" s="15" t="n">
        <x:f>$C18*0</x:f>
        <x:v>0</x:v>
      </x:c>
      <x:c r="G18" s="15" t="n">
        <x:f>$C18*0</x:f>
        <x:v>0</x:v>
      </x:c>
      <x:c r="H18" s="15" t="n">
        <x:f>$C18*0</x:f>
        <x:v>0</x:v>
      </x:c>
      <x:c r="I18" s="15" t="n">
        <x:f>$C18*0</x:f>
        <x:v>0</x:v>
      </x:c>
      <x:c r="J18" s="15" t="n">
        <x:f>$C18*0.06756756756756775</x:f>
        <x:v>133333.33333333372</x:v>
      </x:c>
      <x:c r="K18" s="15" t="n">
        <x:f>$C18*0.4054054054054054</x:f>
        <x:v>800000</x:v>
      </x:c>
      <x:c r="L18" s="15" t="n">
        <x:f>$C18*0.4054054054054054</x:f>
        <x:v>800000</x:v>
      </x:c>
      <x:c r="M18" s="15" t="n">
        <x:f>$C18*0.12162162162162161</x:f>
        <x:v>240000</x:v>
      </x:c>
      <x:c r="N18" s="15" t="n">
        <x:f>$C18*0</x:f>
        <x:v>0</x:v>
      </x:c>
      <x:c r="O18" s="15" t="n">
        <x:f>$C18*0</x:f>
        <x:v>0</x:v>
      </x:c>
      <x:c r="P18" s="15" t="n">
        <x:f>$C18*0</x:f>
        <x:v>0</x:v>
      </x:c>
      <x:c r="Q18" s="15" t="n">
        <x:f>$C18*0</x:f>
        <x:v>0</x:v>
      </x:c>
      <x:c r="R18" s="15" t="n">
        <x:f>$C18*0</x:f>
        <x:v>0</x:v>
      </x:c>
      <x:c r="S18" s="15" t="n">
        <x:f>$C18*0</x:f>
        <x:v>0</x:v>
      </x:c>
      <x:c r="T18" s="15" t="n">
        <x:f>$C18*0</x:f>
        <x:v>0</x:v>
      </x:c>
      <x:c r="U18" s="15" t="n">
        <x:f>$C18*0</x:f>
        <x:v>0</x:v>
      </x:c>
      <x:c r="V18" s="15" t="n">
        <x:f>$C18*0</x:f>
        <x:v>0</x:v>
      </x:c>
      <x:c r="W18" s="15" t="n">
        <x:f>$C18*0</x:f>
        <x:v>0</x:v>
      </x:c>
      <x:c r="X18" s="15" t="n">
        <x:f>$C18*0</x:f>
        <x:v>0</x:v>
      </x:c>
      <x:c r="Y18" s="15" t="n">
        <x:f>$C18*0</x:f>
        <x:v>0</x:v>
      </x:c>
      <x:c r="Z18" s="15" t="n">
        <x:f>$C18*0</x:f>
        <x:v>0</x:v>
      </x:c>
      <x:c r="AA18" s="15" t="n">
        <x:f>$C18*0</x:f>
        <x:v>0</x:v>
      </x:c>
      <x:c r="AB18" s="15" t="n">
        <x:f>$C18*0</x:f>
        <x:v>0</x:v>
      </x:c>
      <x:c r="AC18" s="15" t="n">
        <x:f>$C18*0</x:f>
        <x:v>0</x:v>
      </x:c>
      <x:c r="AD18" s="15" t="n">
        <x:f>$C18*0</x:f>
        <x:v>0</x:v>
      </x:c>
      <x:c r="AE18" s="15" t="n">
        <x:f>$C18*0</x:f>
        <x:v>0</x:v>
      </x:c>
      <x:c r="AF18" s="15" t="n">
        <x:f>$C18*0</x:f>
        <x:v>0</x:v>
      </x:c>
      <x:c r="AG18" s="15" t="n">
        <x:f>$C18*0</x:f>
        <x:v>0</x:v>
      </x:c>
      <x:c r="AH18" s="15" t="n">
        <x:f>$C18*0</x:f>
        <x:v>0</x:v>
      </x:c>
      <x:c r="AI18" s="15" t="n">
        <x:f>0</x:f>
        <x:v>0</x:v>
      </x:c>
    </x:row>
    <x:row r="19" ht="40" customHeight="1">
      <x:c r="A19" s="9" t="str">
        <x:v>4.2.4</x:v>
      </x:c>
      <x:c r="B19" s="9" t="str">
        <x:v>WP</x:v>
      </x:c>
      <x:c r="C19" s="15" t="n">
        <x:f>'Estimates'!I19</x:f>
        <x:v>1760000</x:v>
      </x:c>
      <x:c r="D19" s="15" t="n">
        <x:f>$C19*0</x:f>
        <x:v>0</x:v>
      </x:c>
      <x:c r="E19" s="15" t="n">
        <x:f>$C19*0</x:f>
        <x:v>0</x:v>
      </x:c>
      <x:c r="F19" s="15" t="n">
        <x:f>$C19*0</x:f>
        <x:v>0</x:v>
      </x:c>
      <x:c r="G19" s="15" t="n">
        <x:f>$C19*0</x:f>
        <x:v>0</x:v>
      </x:c>
      <x:c r="H19" s="15" t="n">
        <x:f>$C19*0</x:f>
        <x:v>0</x:v>
      </x:c>
      <x:c r="I19" s="15" t="n">
        <x:f>$C19*0</x:f>
        <x:v>0</x:v>
      </x:c>
      <x:c r="J19" s="15" t="n">
        <x:f>$C19*0</x:f>
        <x:v>0</x:v>
      </x:c>
      <x:c r="K19" s="15" t="n">
        <x:f>$C19*0</x:f>
        <x:v>0</x:v>
      </x:c>
      <x:c r="L19" s="15" t="n">
        <x:f>$C19*0</x:f>
        <x:v>0</x:v>
      </x:c>
      <x:c r="M19" s="15" t="n">
        <x:f>$C19*0</x:f>
        <x:v>0</x:v>
      </x:c>
      <x:c r="N19" s="15" t="n">
        <x:f>$C19*0.16666666666666688</x:f>
        <x:v>293333.3333333337</x:v>
      </x:c>
      <x:c r="O19" s="15" t="n">
        <x:f>$C19*0.45454545454545453</x:f>
        <x:v>800000</x:v>
      </x:c>
      <x:c r="P19" s="15" t="n">
        <x:f>$C19*0.37878787878787795</x:f>
        <x:v>666666.6666666652</x:v>
      </x:c>
      <x:c r="Q19" s="15" t="n">
        <x:f>$C19*0</x:f>
        <x:v>0</x:v>
      </x:c>
      <x:c r="R19" s="15" t="n">
        <x:f>$C19*0</x:f>
        <x:v>0</x:v>
      </x:c>
      <x:c r="S19" s="15" t="n">
        <x:f>$C19*0</x:f>
        <x:v>0</x:v>
      </x:c>
      <x:c r="T19" s="15" t="n">
        <x:f>$C19*0</x:f>
        <x:v>0</x:v>
      </x:c>
      <x:c r="U19" s="15" t="n">
        <x:f>$C19*0</x:f>
        <x:v>0</x:v>
      </x:c>
      <x:c r="V19" s="15" t="n">
        <x:f>$C19*0</x:f>
        <x:v>0</x:v>
      </x:c>
      <x:c r="W19" s="15" t="n">
        <x:f>$C19*0</x:f>
        <x:v>0</x:v>
      </x:c>
      <x:c r="X19" s="15" t="n">
        <x:f>$C19*0</x:f>
        <x:v>0</x:v>
      </x:c>
      <x:c r="Y19" s="15" t="n">
        <x:f>$C19*0</x:f>
        <x:v>0</x:v>
      </x:c>
      <x:c r="Z19" s="15" t="n">
        <x:f>$C19*0</x:f>
        <x:v>0</x:v>
      </x:c>
      <x:c r="AA19" s="15" t="n">
        <x:f>$C19*0</x:f>
        <x:v>0</x:v>
      </x:c>
      <x:c r="AB19" s="15" t="n">
        <x:f>$C19*0</x:f>
        <x:v>0</x:v>
      </x:c>
      <x:c r="AC19" s="15" t="n">
        <x:f>$C19*0</x:f>
        <x:v>0</x:v>
      </x:c>
      <x:c r="AD19" s="15" t="n">
        <x:f>$C19*0</x:f>
        <x:v>0</x:v>
      </x:c>
      <x:c r="AE19" s="15" t="n">
        <x:f>$C19*0</x:f>
        <x:v>0</x:v>
      </x:c>
      <x:c r="AF19" s="15" t="n">
        <x:f>$C19*0</x:f>
        <x:v>0</x:v>
      </x:c>
      <x:c r="AG19" s="15" t="n">
        <x:f>$C19*0</x:f>
        <x:v>0</x:v>
      </x:c>
      <x:c r="AH19" s="15" t="n">
        <x:f>$C19*0</x:f>
        <x:v>0</x:v>
      </x:c>
      <x:c r="AI19" s="15" t="n">
        <x:f>0</x:f>
        <x:v>0</x:v>
      </x:c>
    </x:row>
    <x:row r="20" ht="40" customHeight="1">
      <x:c r="A20" s="9" t="str">
        <x:v>4.2.5</x:v>
      </x:c>
      <x:c r="B20" s="9" t="str">
        <x:v>WP</x:v>
      </x:c>
      <x:c r="C20" s="15" t="n">
        <x:f>'Estimates'!I20</x:f>
        <x:v>1226666.6666666667</x:v>
      </x:c>
      <x:c r="D20" s="15" t="n">
        <x:f>$C20*0</x:f>
        <x:v>0</x:v>
      </x:c>
      <x:c r="E20" s="15" t="n">
        <x:f>$C20*0</x:f>
        <x:v>0</x:v>
      </x:c>
      <x:c r="F20" s="15" t="n">
        <x:f>$C20*0</x:f>
        <x:v>0</x:v>
      </x:c>
      <x:c r="G20" s="15" t="n">
        <x:f>$C20*0</x:f>
        <x:v>0</x:v>
      </x:c>
      <x:c r="H20" s="15" t="n">
        <x:f>$C20*0</x:f>
        <x:v>0</x:v>
      </x:c>
      <x:c r="I20" s="15" t="n">
        <x:f>$C20*0</x:f>
        <x:v>0</x:v>
      </x:c>
      <x:c r="J20" s="15" t="n">
        <x:f>$C20*0</x:f>
        <x:v>0</x:v>
      </x:c>
      <x:c r="K20" s="15" t="n">
        <x:f>$C20*0</x:f>
        <x:v>0</x:v>
      </x:c>
      <x:c r="L20" s="15" t="n">
        <x:f>$C20*0</x:f>
        <x:v>0</x:v>
      </x:c>
      <x:c r="M20" s="15" t="n">
        <x:f>$C20*0</x:f>
        <x:v>0</x:v>
      </x:c>
      <x:c r="N20" s="15" t="n">
        <x:f>$C20*0</x:f>
        <x:v>0</x:v>
      </x:c>
      <x:c r="O20" s="15" t="n">
        <x:f>$C20*0</x:f>
        <x:v>0</x:v>
      </x:c>
      <x:c r="P20" s="15" t="n">
        <x:f>$C20*0</x:f>
        <x:v>0</x:v>
      </x:c>
      <x:c r="Q20" s="15" t="n">
        <x:f>$C20*0</x:f>
        <x:v>0</x:v>
      </x:c>
      <x:c r="R20" s="15" t="n">
        <x:f>$C20*0</x:f>
        <x:v>0</x:v>
      </x:c>
      <x:c r="S20" s="15" t="n">
        <x:f>$C20*0</x:f>
        <x:v>0</x:v>
      </x:c>
      <x:c r="T20" s="15" t="n">
        <x:f>$C20*0</x:f>
        <x:v>0</x:v>
      </x:c>
      <x:c r="U20" s="15" t="n">
        <x:f>$C20*0</x:f>
        <x:v>0</x:v>
      </x:c>
      <x:c r="V20" s="15" t="n">
        <x:f>$C20*0</x:f>
        <x:v>0</x:v>
      </x:c>
      <x:c r="W20" s="15" t="n">
        <x:f>$C20*0</x:f>
        <x:v>0</x:v>
      </x:c>
      <x:c r="X20" s="15" t="n">
        <x:f>$C20*0</x:f>
        <x:v>0</x:v>
      </x:c>
      <x:c r="Y20" s="15" t="n">
        <x:f>$C20*0</x:f>
        <x:v>0</x:v>
      </x:c>
      <x:c r="Z20" s="15" t="n">
        <x:f>$C20*0.32608695652174097</x:f>
        <x:v>400000.00000000227</x:v>
      </x:c>
      <x:c r="AA20" s="15" t="n">
        <x:f>$C20*0.6521739130434783</x:f>
        <x:v>800000.0000000001</x:v>
      </x:c>
      <x:c r="AB20" s="15" t="n">
        <x:f>$C20*0.021739130434781373</x:f>
        <x:v>26666.66666666515</x:v>
      </x:c>
      <x:c r="AC20" s="15" t="n">
        <x:f>$C20*0</x:f>
        <x:v>0</x:v>
      </x:c>
      <x:c r="AD20" s="15" t="n">
        <x:f>$C20*0</x:f>
        <x:v>0</x:v>
      </x:c>
      <x:c r="AE20" s="15" t="n">
        <x:f>$C20*0</x:f>
        <x:v>0</x:v>
      </x:c>
      <x:c r="AF20" s="15" t="n">
        <x:f>$C20*0</x:f>
        <x:v>0</x:v>
      </x:c>
      <x:c r="AG20" s="15" t="n">
        <x:f>$C20*0</x:f>
        <x:v>0</x:v>
      </x:c>
      <x:c r="AH20" s="15" t="n">
        <x:f>$C20*0</x:f>
        <x:v>0</x:v>
      </x:c>
      <x:c r="AI20" s="15" t="n">
        <x:f>0</x:f>
        <x:v>0</x:v>
      </x:c>
    </x:row>
    <x:row r="21" ht="40" customHeight="1">
      <x:c r="A21" s="9" t="str">
        <x:v>4.2.6</x:v>
      </x:c>
      <x:c r="B21" s="9" t="str">
        <x:v>WP</x:v>
      </x:c>
      <x:c r="C21" s="15" t="n">
        <x:f>'Estimates'!I21</x:f>
        <x:v>1893333.3333333335</x:v>
      </x:c>
      <x:c r="D21" s="15" t="n">
        <x:f>$C21*0</x:f>
        <x:v>0</x:v>
      </x:c>
      <x:c r="E21" s="15" t="n">
        <x:f>$C21*0</x:f>
        <x:v>0</x:v>
      </x:c>
      <x:c r="F21" s="15" t="n">
        <x:f>$C21*0</x:f>
        <x:v>0</x:v>
      </x:c>
      <x:c r="G21" s="15" t="n">
        <x:f>$C21*0</x:f>
        <x:v>0</x:v>
      </x:c>
      <x:c r="H21" s="15" t="n">
        <x:f>$C21*0</x:f>
        <x:v>0</x:v>
      </x:c>
      <x:c r="I21" s="15" t="n">
        <x:f>$C21*0</x:f>
        <x:v>0</x:v>
      </x:c>
      <x:c r="J21" s="15" t="n">
        <x:f>$C21*0</x:f>
        <x:v>0</x:v>
      </x:c>
      <x:c r="K21" s="15" t="n">
        <x:f>$C21*0</x:f>
        <x:v>0</x:v>
      </x:c>
      <x:c r="L21" s="15" t="n">
        <x:f>$C21*0</x:f>
        <x:v>0</x:v>
      </x:c>
      <x:c r="M21" s="15" t="n">
        <x:f>$C21*0</x:f>
        <x:v>0</x:v>
      </x:c>
      <x:c r="N21" s="15" t="n">
        <x:f>$C21*0</x:f>
        <x:v>0</x:v>
      </x:c>
      <x:c r="O21" s="15" t="n">
        <x:f>$C21*0</x:f>
        <x:v>0</x:v>
      </x:c>
      <x:c r="P21" s="15" t="n">
        <x:f>$C21*0</x:f>
        <x:v>0</x:v>
      </x:c>
      <x:c r="Q21" s="15" t="n">
        <x:f>$C21*0</x:f>
        <x:v>0</x:v>
      </x:c>
      <x:c r="R21" s="15" t="n">
        <x:f>$C21*0</x:f>
        <x:v>0</x:v>
      </x:c>
      <x:c r="S21" s="15" t="n">
        <x:f>$C21*0</x:f>
        <x:v>0</x:v>
      </x:c>
      <x:c r="T21" s="15" t="n">
        <x:f>$C21*0</x:f>
        <x:v>0</x:v>
      </x:c>
      <x:c r="U21" s="15" t="n">
        <x:f>$C21*0</x:f>
        <x:v>0</x:v>
      </x:c>
      <x:c r="V21" s="15" t="n">
        <x:f>$C21*0</x:f>
        <x:v>0</x:v>
      </x:c>
      <x:c r="W21" s="15" t="n">
        <x:f>$C21*0</x:f>
        <x:v>0</x:v>
      </x:c>
      <x:c r="X21" s="15" t="n">
        <x:f>$C21*0</x:f>
        <x:v>0</x:v>
      </x:c>
      <x:c r="Y21" s="15" t="n">
        <x:f>$C21*0</x:f>
        <x:v>0</x:v>
      </x:c>
      <x:c r="Z21" s="15" t="n">
        <x:f>$C21*0</x:f>
        <x:v>0</x:v>
      </x:c>
      <x:c r="AA21" s="15" t="n">
        <x:f>$C21*0</x:f>
        <x:v>0</x:v>
      </x:c>
      <x:c r="AB21" s="15" t="n">
        <x:f>$C21*0.4084507042253529</x:f>
        <x:v>773333.3333333349</x:v>
      </x:c>
      <x:c r="AC21" s="15" t="n">
        <x:f>$C21*0.4225352112676056</x:f>
        <x:v>800000</x:v>
      </x:c>
      <x:c r="AD21" s="15" t="n">
        <x:f>$C21*0.16901408450704225</x:f>
        <x:v>320000</x:v>
      </x:c>
      <x:c r="AE21" s="15" t="n">
        <x:f>$C21*0</x:f>
        <x:v>0</x:v>
      </x:c>
      <x:c r="AF21" s="15" t="n">
        <x:f>$C21*0</x:f>
        <x:v>0</x:v>
      </x:c>
      <x:c r="AG21" s="15" t="n">
        <x:f>$C21*0</x:f>
        <x:v>0</x:v>
      </x:c>
      <x:c r="AH21" s="15" t="n">
        <x:f>$C21*0</x:f>
        <x:v>0</x:v>
      </x:c>
      <x:c r="AI21" s="15" t="n">
        <x:f>0</x:f>
        <x:v>0</x:v>
      </x:c>
    </x:row>
    <x:row r="22" ht="40" customHeight="1">
      <x:c r="A22" s="9" t="str">
        <x:v>4.2.7</x:v>
      </x:c>
      <x:c r="B22" s="9" t="str">
        <x:v>PP</x:v>
      </x:c>
      <x:c r="C22" s="15" t="n">
        <x:f>'Estimates'!I22</x:f>
        <x:v>906666.6666666667</x:v>
      </x:c>
      <x:c r="D22" s="15" t="n">
        <x:f>0</x:f>
        <x:v>0</x:v>
      </x:c>
      <x:c r="E22" s="15" t="n">
        <x:f>0</x:f>
        <x:v>0</x:v>
      </x:c>
      <x:c r="F22" s="15" t="n">
        <x:f>0</x:f>
        <x:v>0</x:v>
      </x:c>
      <x:c r="G22" s="15" t="n">
        <x:f>0</x:f>
        <x:v>0</x:v>
      </x:c>
      <x:c r="H22" s="15" t="n">
        <x:f>0</x:f>
        <x:v>0</x:v>
      </x:c>
      <x:c r="I22" s="15" t="n">
        <x:f>0</x:f>
        <x:v>0</x:v>
      </x:c>
      <x:c r="J22" s="15" t="n">
        <x:f>0</x:f>
        <x:v>0</x:v>
      </x:c>
      <x:c r="K22" s="15" t="n">
        <x:f>0</x:f>
        <x:v>0</x:v>
      </x:c>
      <x:c r="L22" s="15" t="n">
        <x:f>0</x:f>
        <x:v>0</x:v>
      </x:c>
      <x:c r="M22" s="15" t="n">
        <x:f>0</x:f>
        <x:v>0</x:v>
      </x:c>
      <x:c r="N22" s="15" t="n">
        <x:f>0</x:f>
        <x:v>0</x:v>
      </x:c>
      <x:c r="O22" s="15" t="n">
        <x:f>0</x:f>
        <x:v>0</x:v>
      </x:c>
      <x:c r="P22" s="15" t="n">
        <x:f>0</x:f>
        <x:v>0</x:v>
      </x:c>
      <x:c r="Q22" s="15" t="n">
        <x:f>0</x:f>
        <x:v>0</x:v>
      </x:c>
      <x:c r="R22" s="15" t="n">
        <x:f>0</x:f>
        <x:v>0</x:v>
      </x:c>
      <x:c r="S22" s="15" t="n">
        <x:f>0</x:f>
        <x:v>0</x:v>
      </x:c>
      <x:c r="T22" s="15" t="n">
        <x:f>0</x:f>
        <x:v>0</x:v>
      </x:c>
      <x:c r="U22" s="15" t="n">
        <x:f>0</x:f>
        <x:v>0</x:v>
      </x:c>
      <x:c r="V22" s="15" t="n">
        <x:f>0</x:f>
        <x:v>0</x:v>
      </x:c>
      <x:c r="W22" s="15" t="n">
        <x:f>0</x:f>
        <x:v>0</x:v>
      </x:c>
      <x:c r="X22" s="15" t="n">
        <x:f>0</x:f>
        <x:v>0</x:v>
      </x:c>
      <x:c r="Y22" s="15" t="n">
        <x:f>0</x:f>
        <x:v>0</x:v>
      </x:c>
      <x:c r="Z22" s="15" t="n">
        <x:f>0</x:f>
        <x:v>0</x:v>
      </x:c>
      <x:c r="AA22" s="15" t="n">
        <x:f>0</x:f>
        <x:v>0</x:v>
      </x:c>
      <x:c r="AB22" s="15" t="n">
        <x:f>0</x:f>
        <x:v>0</x:v>
      </x:c>
      <x:c r="AC22" s="15" t="n">
        <x:f>0</x:f>
        <x:v>0</x:v>
      </x:c>
      <x:c r="AD22" s="15" t="n">
        <x:f>0</x:f>
        <x:v>0</x:v>
      </x:c>
      <x:c r="AE22" s="15" t="n">
        <x:f>0</x:f>
        <x:v>0</x:v>
      </x:c>
      <x:c r="AF22" s="15" t="n">
        <x:f>0</x:f>
        <x:v>0</x:v>
      </x:c>
      <x:c r="AG22" s="15" t="n">
        <x:f>0</x:f>
        <x:v>0</x:v>
      </x:c>
      <x:c r="AH22" s="15" t="n">
        <x:f>0</x:f>
        <x:v>0</x:v>
      </x:c>
      <x:c r="AI22" s="15" t="n">
        <x:f>C22</x:f>
        <x:v>906666.6666666667</x:v>
      </x:c>
    </x:row>
    <x:row r="23" ht="40" customHeight="1">
      <x:c r="A23" s="9" t="str">
        <x:v>4.3.1</x:v>
      </x:c>
      <x:c r="B23" s="9" t="str">
        <x:v>WP</x:v>
      </x:c>
      <x:c r="C23" s="15" t="n">
        <x:f>'Estimates'!I23</x:f>
        <x:v>1120000</x:v>
      </x:c>
      <x:c r="D23" s="15" t="n">
        <x:f>$C23*0</x:f>
        <x:v>0</x:v>
      </x:c>
      <x:c r="E23" s="15" t="n">
        <x:f>$C23*0</x:f>
        <x:v>0</x:v>
      </x:c>
      <x:c r="F23" s="15" t="n">
        <x:f>$C23*0</x:f>
        <x:v>0</x:v>
      </x:c>
      <x:c r="G23" s="15" t="n">
        <x:f>$C23*0</x:f>
        <x:v>0</x:v>
      </x:c>
      <x:c r="H23" s="15" t="n">
        <x:f>$C23*0</x:f>
        <x:v>0</x:v>
      </x:c>
      <x:c r="I23" s="15" t="n">
        <x:f>$C23*0</x:f>
        <x:v>0</x:v>
      </x:c>
      <x:c r="J23" s="15" t="n">
        <x:f>$C23*0</x:f>
        <x:v>0</x:v>
      </x:c>
      <x:c r="K23" s="15" t="n">
        <x:f>$C23*0</x:f>
        <x:v>0</x:v>
      </x:c>
      <x:c r="L23" s="15" t="n">
        <x:f>$C23*0</x:f>
        <x:v>0</x:v>
      </x:c>
      <x:c r="M23" s="15" t="n">
        <x:f>$C23*0</x:f>
        <x:v>0</x:v>
      </x:c>
      <x:c r="N23" s="15" t="n">
        <x:f>$C23*0</x:f>
        <x:v>0</x:v>
      </x:c>
      <x:c r="O23" s="15" t="n">
        <x:f>$C23*0</x:f>
        <x:v>0</x:v>
      </x:c>
      <x:c r="P23" s="15" t="n">
        <x:f>$C23*0</x:f>
        <x:v>0</x:v>
      </x:c>
      <x:c r="Q23" s="15" t="n">
        <x:f>$C23*0</x:f>
        <x:v>0</x:v>
      </x:c>
      <x:c r="R23" s="15" t="n">
        <x:f>$C23*0</x:f>
        <x:v>0</x:v>
      </x:c>
      <x:c r="S23" s="15" t="n">
        <x:f>$C23*0</x:f>
        <x:v>0</x:v>
      </x:c>
      <x:c r="T23" s="15" t="n">
        <x:f>$C23*0</x:f>
        <x:v>0</x:v>
      </x:c>
      <x:c r="U23" s="15" t="n">
        <x:f>$C23*0</x:f>
        <x:v>0</x:v>
      </x:c>
      <x:c r="V23" s="15" t="n">
        <x:f>$C23*0</x:f>
        <x:v>0</x:v>
      </x:c>
      <x:c r="W23" s="15" t="n">
        <x:f>$C23*0.26190476190476325</x:f>
        <x:v>293333.3333333348</x:v>
      </x:c>
      <x:c r="X23" s="15" t="n">
        <x:f>$C23*0.7142857142857143</x:f>
        <x:v>800000</x:v>
      </x:c>
      <x:c r="Y23" s="15" t="n">
        <x:f>$C23*0.023809523809522455</x:f>
        <x:v>26666.66666666515</x:v>
      </x:c>
      <x:c r="Z23" s="15" t="n">
        <x:f>$C23*0</x:f>
        <x:v>0</x:v>
      </x:c>
      <x:c r="AA23" s="15" t="n">
        <x:f>$C23*0</x:f>
        <x:v>0</x:v>
      </x:c>
      <x:c r="AB23" s="15" t="n">
        <x:f>$C23*0</x:f>
        <x:v>0</x:v>
      </x:c>
      <x:c r="AC23" s="15" t="n">
        <x:f>$C23*0</x:f>
        <x:v>0</x:v>
      </x:c>
      <x:c r="AD23" s="15" t="n">
        <x:f>$C23*0</x:f>
        <x:v>0</x:v>
      </x:c>
      <x:c r="AE23" s="15" t="n">
        <x:f>$C23*0</x:f>
        <x:v>0</x:v>
      </x:c>
      <x:c r="AF23" s="15" t="n">
        <x:f>$C23*0</x:f>
        <x:v>0</x:v>
      </x:c>
      <x:c r="AG23" s="15" t="n">
        <x:f>$C23*0</x:f>
        <x:v>0</x:v>
      </x:c>
      <x:c r="AH23" s="15" t="n">
        <x:f>$C23*0</x:f>
        <x:v>0</x:v>
      </x:c>
      <x:c r="AI23" s="15" t="n">
        <x:f>0</x:f>
        <x:v>0</x:v>
      </x:c>
    </x:row>
    <x:row r="24" ht="40" customHeight="1">
      <x:c r="A24" s="9" t="str">
        <x:v>4.3.2</x:v>
      </x:c>
      <x:c r="B24" s="9" t="str">
        <x:v>WP</x:v>
      </x:c>
      <x:c r="C24" s="15" t="n">
        <x:f>'Estimates'!I24</x:f>
        <x:v>1920000</x:v>
      </x:c>
      <x:c r="D24" s="15" t="n">
        <x:f>$C24*0</x:f>
        <x:v>0</x:v>
      </x:c>
      <x:c r="E24" s="15" t="n">
        <x:f>$C24*0</x:f>
        <x:v>0</x:v>
      </x:c>
      <x:c r="F24" s="15" t="n">
        <x:f>$C24*0</x:f>
        <x:v>0</x:v>
      </x:c>
      <x:c r="G24" s="15" t="n">
        <x:f>$C24*0</x:f>
        <x:v>0</x:v>
      </x:c>
      <x:c r="H24" s="15" t="n">
        <x:f>$C24*0</x:f>
        <x:v>0</x:v>
      </x:c>
      <x:c r="I24" s="15" t="n">
        <x:f>$C24*0</x:f>
        <x:v>0</x:v>
      </x:c>
      <x:c r="J24" s="15" t="n">
        <x:f>$C24*0</x:f>
        <x:v>0</x:v>
      </x:c>
      <x:c r="K24" s="15" t="n">
        <x:f>$C24*0</x:f>
        <x:v>0</x:v>
      </x:c>
      <x:c r="L24" s="15" t="n">
        <x:f>$C24*0</x:f>
        <x:v>0</x:v>
      </x:c>
      <x:c r="M24" s="15" t="n">
        <x:f>$C24*0</x:f>
        <x:v>0</x:v>
      </x:c>
      <x:c r="N24" s="15" t="n">
        <x:f>$C24*0</x:f>
        <x:v>0</x:v>
      </x:c>
      <x:c r="O24" s="15" t="n">
        <x:f>$C24*0</x:f>
        <x:v>0</x:v>
      </x:c>
      <x:c r="P24" s="15" t="n">
        <x:f>$C24*0</x:f>
        <x:v>0</x:v>
      </x:c>
      <x:c r="Q24" s="15" t="n">
        <x:f>$C24*0</x:f>
        <x:v>0</x:v>
      </x:c>
      <x:c r="R24" s="15" t="n">
        <x:f>$C24*0</x:f>
        <x:v>0</x:v>
      </x:c>
      <x:c r="S24" s="15" t="n">
        <x:f>$C24*0</x:f>
        <x:v>0</x:v>
      </x:c>
      <x:c r="T24" s="15" t="n">
        <x:f>$C24*0</x:f>
        <x:v>0</x:v>
      </x:c>
      <x:c r="U24" s="15" t="n">
        <x:f>$C24*0</x:f>
        <x:v>0</x:v>
      </x:c>
      <x:c r="V24" s="15" t="n">
        <x:f>$C24*0</x:f>
        <x:v>0</x:v>
      </x:c>
      <x:c r="W24" s="15" t="n">
        <x:f>$C24*0</x:f>
        <x:v>0</x:v>
      </x:c>
      <x:c r="X24" s="15" t="n">
        <x:f>$C24*0</x:f>
        <x:v>0</x:v>
      </x:c>
      <x:c r="Y24" s="15" t="n">
        <x:f>$C24*0.40277777777777857</x:f>
        <x:v>773333.3333333349</x:v>
      </x:c>
      <x:c r="Z24" s="15" t="n">
        <x:f>$C24*0.4166666666666667</x:f>
        <x:v>800000</x:v>
      </x:c>
      <x:c r="AA24" s="15" t="n">
        <x:f>$C24*0.18055555555555358</x:f>
        <x:v>346666.6666666629</x:v>
      </x:c>
      <x:c r="AB24" s="15" t="n">
        <x:f>$C24*0</x:f>
        <x:v>0</x:v>
      </x:c>
      <x:c r="AC24" s="15" t="n">
        <x:f>$C24*0</x:f>
        <x:v>0</x:v>
      </x:c>
      <x:c r="AD24" s="15" t="n">
        <x:f>$C24*0</x:f>
        <x:v>0</x:v>
      </x:c>
      <x:c r="AE24" s="15" t="n">
        <x:f>$C24*0</x:f>
        <x:v>0</x:v>
      </x:c>
      <x:c r="AF24" s="15" t="n">
        <x:f>$C24*0</x:f>
        <x:v>0</x:v>
      </x:c>
      <x:c r="AG24" s="15" t="n">
        <x:f>$C24*0</x:f>
        <x:v>0</x:v>
      </x:c>
      <x:c r="AH24" s="15" t="n">
        <x:f>$C24*0</x:f>
        <x:v>0</x:v>
      </x:c>
      <x:c r="AI24" s="15" t="n">
        <x:f>0</x:f>
        <x:v>0</x:v>
      </x:c>
    </x:row>
    <x:row r="25" ht="40" customHeight="1">
      <x:c r="A25" s="9" t="str">
        <x:v>4.3.3</x:v>
      </x:c>
      <x:c r="B25" s="9" t="str">
        <x:v>WP</x:v>
      </x:c>
      <x:c r="C25" s="15" t="n">
        <x:f>'Estimates'!I25</x:f>
        <x:v>2133333.3333333335</x:v>
      </x:c>
      <x:c r="D25" s="15" t="n">
        <x:f>$C25*0</x:f>
        <x:v>0</x:v>
      </x:c>
      <x:c r="E25" s="15" t="n">
        <x:f>$C25*0</x:f>
        <x:v>0</x:v>
      </x:c>
      <x:c r="F25" s="15" t="n">
        <x:f>$C25*0</x:f>
        <x:v>0</x:v>
      </x:c>
      <x:c r="G25" s="15" t="n">
        <x:f>$C25*0</x:f>
        <x:v>0</x:v>
      </x:c>
      <x:c r="H25" s="15" t="n">
        <x:f>$C25*0</x:f>
        <x:v>0</x:v>
      </x:c>
      <x:c r="I25" s="15" t="n">
        <x:f>$C25*0</x:f>
        <x:v>0</x:v>
      </x:c>
      <x:c r="J25" s="15" t="n">
        <x:f>$C25*0</x:f>
        <x:v>0</x:v>
      </x:c>
      <x:c r="K25" s="15" t="n">
        <x:f>$C25*0</x:f>
        <x:v>0</x:v>
      </x:c>
      <x:c r="L25" s="15" t="n">
        <x:f>$C25*0</x:f>
        <x:v>0</x:v>
      </x:c>
      <x:c r="M25" s="15" t="n">
        <x:f>$C25*0</x:f>
        <x:v>0</x:v>
      </x:c>
      <x:c r="N25" s="15" t="n">
        <x:f>$C25*0</x:f>
        <x:v>0</x:v>
      </x:c>
      <x:c r="O25" s="15" t="n">
        <x:f>$C25*0</x:f>
        <x:v>0</x:v>
      </x:c>
      <x:c r="P25" s="15" t="n">
        <x:f>$C25*0</x:f>
        <x:v>0</x:v>
      </x:c>
      <x:c r="Q25" s="15" t="n">
        <x:f>$C25*0</x:f>
        <x:v>0</x:v>
      </x:c>
      <x:c r="R25" s="15" t="n">
        <x:f>$C25*0</x:f>
        <x:v>0</x:v>
      </x:c>
      <x:c r="S25" s="15" t="n">
        <x:f>$C25*0</x:f>
        <x:v>0</x:v>
      </x:c>
      <x:c r="T25" s="15" t="n">
        <x:f>$C25*0</x:f>
        <x:v>0</x:v>
      </x:c>
      <x:c r="U25" s="15" t="n">
        <x:f>$C25*0</x:f>
        <x:v>0</x:v>
      </x:c>
      <x:c r="V25" s="15" t="n">
        <x:f>$C25*0</x:f>
        <x:v>0</x:v>
      </x:c>
      <x:c r="W25" s="15" t="n">
        <x:f>$C25*0</x:f>
        <x:v>0</x:v>
      </x:c>
      <x:c r="X25" s="15" t="n">
        <x:f>$C25*0</x:f>
        <x:v>0</x:v>
      </x:c>
      <x:c r="Y25" s="15" t="n">
        <x:f>$C25*0</x:f>
        <x:v>0</x:v>
      </x:c>
      <x:c r="Z25" s="15" t="n">
        <x:f>$C25*0</x:f>
        <x:v>0</x:v>
      </x:c>
      <x:c r="AA25" s="15" t="n">
        <x:f>$C25*0.21250000000000177</x:f>
        <x:v>453333.33333333716</x:v>
      </x:c>
      <x:c r="AB25" s="15" t="n">
        <x:f>$C25*0.375</x:f>
        <x:v>800000</x:v>
      </x:c>
      <x:c r="AC25" s="15" t="n">
        <x:f>$C25*0.375</x:f>
        <x:v>800000</x:v>
      </x:c>
      <x:c r="AD25" s="15" t="n">
        <x:f>$C25*0.03749999999999787</x:f>
        <x:v>79999.99999999546</x:v>
      </x:c>
      <x:c r="AE25" s="15" t="n">
        <x:f>$C25*0</x:f>
        <x:v>0</x:v>
      </x:c>
      <x:c r="AF25" s="15" t="n">
        <x:f>$C25*0</x:f>
        <x:v>0</x:v>
      </x:c>
      <x:c r="AG25" s="15" t="n">
        <x:f>$C25*0</x:f>
        <x:v>0</x:v>
      </x:c>
      <x:c r="AH25" s="15" t="n">
        <x:f>$C25*0</x:f>
        <x:v>0</x:v>
      </x:c>
      <x:c r="AI25" s="15" t="n">
        <x:f>0</x:f>
        <x:v>0</x:v>
      </x:c>
    </x:row>
    <x:row r="26" ht="40" customHeight="1">
      <x:c r="A26" s="9" t="str">
        <x:v>4.3.4</x:v>
      </x:c>
      <x:c r="B26" s="9" t="str">
        <x:v>WP</x:v>
      </x:c>
      <x:c r="C26" s="15" t="n">
        <x:f>'Estimates'!I26</x:f>
        <x:v>1280000</x:v>
      </x:c>
      <x:c r="D26" s="15" t="n">
        <x:f>$C26*0</x:f>
        <x:v>0</x:v>
      </x:c>
      <x:c r="E26" s="15" t="n">
        <x:f>$C26*0</x:f>
        <x:v>0</x:v>
      </x:c>
      <x:c r="F26" s="15" t="n">
        <x:f>$C26*0</x:f>
        <x:v>0</x:v>
      </x:c>
      <x:c r="G26" s="15" t="n">
        <x:f>$C26*0</x:f>
        <x:v>0</x:v>
      </x:c>
      <x:c r="H26" s="15" t="n">
        <x:f>$C26*0</x:f>
        <x:v>0</x:v>
      </x:c>
      <x:c r="I26" s="15" t="n">
        <x:f>$C26*0</x:f>
        <x:v>0</x:v>
      </x:c>
      <x:c r="J26" s="15" t="n">
        <x:f>$C26*0</x:f>
        <x:v>0</x:v>
      </x:c>
      <x:c r="K26" s="15" t="n">
        <x:f>$C26*0</x:f>
        <x:v>0</x:v>
      </x:c>
      <x:c r="L26" s="15" t="n">
        <x:f>$C26*0</x:f>
        <x:v>0</x:v>
      </x:c>
      <x:c r="M26" s="15" t="n">
        <x:f>$C26*0</x:f>
        <x:v>0</x:v>
      </x:c>
      <x:c r="N26" s="15" t="n">
        <x:f>$C26*0</x:f>
        <x:v>0</x:v>
      </x:c>
      <x:c r="O26" s="15" t="n">
        <x:f>$C26*0</x:f>
        <x:v>0</x:v>
      </x:c>
      <x:c r="P26" s="15" t="n">
        <x:f>$C26*0</x:f>
        <x:v>0</x:v>
      </x:c>
      <x:c r="Q26" s="15" t="n">
        <x:f>$C26*0</x:f>
        <x:v>0</x:v>
      </x:c>
      <x:c r="R26" s="15" t="n">
        <x:f>$C26*0</x:f>
        <x:v>0</x:v>
      </x:c>
      <x:c r="S26" s="15" t="n">
        <x:f>$C26*0</x:f>
        <x:v>0</x:v>
      </x:c>
      <x:c r="T26" s="15" t="n">
        <x:f>$C26*0</x:f>
        <x:v>0</x:v>
      </x:c>
      <x:c r="U26" s="15" t="n">
        <x:f>$C26*0</x:f>
        <x:v>0</x:v>
      </x:c>
      <x:c r="V26" s="15" t="n">
        <x:f>$C26*0</x:f>
        <x:v>0</x:v>
      </x:c>
      <x:c r="W26" s="15" t="n">
        <x:f>$C26*0</x:f>
        <x:v>0</x:v>
      </x:c>
      <x:c r="X26" s="15" t="n">
        <x:f>$C26*0</x:f>
        <x:v>0</x:v>
      </x:c>
      <x:c r="Y26" s="15" t="n">
        <x:f>$C26*0</x:f>
        <x:v>0</x:v>
      </x:c>
      <x:c r="Z26" s="15" t="n">
        <x:f>$C26*0</x:f>
        <x:v>0</x:v>
      </x:c>
      <x:c r="AA26" s="15" t="n">
        <x:f>$C26*0</x:f>
        <x:v>0</x:v>
      </x:c>
      <x:c r="AB26" s="15" t="n">
        <x:f>$C26*0</x:f>
        <x:v>0</x:v>
      </x:c>
      <x:c r="AC26" s="15" t="n">
        <x:f>$C26*0</x:f>
        <x:v>0</x:v>
      </x:c>
      <x:c r="AD26" s="15" t="n">
        <x:f>$C26*0.5625000000000036</x:f>
        <x:v>720000.0000000045</x:v>
      </x:c>
      <x:c r="AE26" s="15" t="n">
        <x:f>$C26*0.43749999999999645</x:f>
        <x:v>559999.9999999955</x:v>
      </x:c>
      <x:c r="AF26" s="15" t="n">
        <x:f>$C26*0</x:f>
        <x:v>0</x:v>
      </x:c>
      <x:c r="AG26" s="15" t="n">
        <x:f>$C26*0</x:f>
        <x:v>0</x:v>
      </x:c>
      <x:c r="AH26" s="15" t="n">
        <x:f>$C26*0</x:f>
        <x:v>0</x:v>
      </x:c>
      <x:c r="AI26" s="15" t="n">
        <x:f>0</x:f>
        <x:v>0</x:v>
      </x:c>
    </x:row>
    <x:row r="27" ht="40" customHeight="1">
      <x:c r="A27" s="9" t="str">
        <x:v>4.3.5</x:v>
      </x:c>
      <x:c r="B27" s="9" t="str">
        <x:v>PP</x:v>
      </x:c>
      <x:c r="C27" s="15" t="n">
        <x:f>'Estimates'!I27</x:f>
        <x:v>1760000</x:v>
      </x:c>
      <x:c r="D27" s="15" t="n">
        <x:f>0</x:f>
        <x:v>0</x:v>
      </x:c>
      <x:c r="E27" s="15" t="n">
        <x:f>0</x:f>
        <x:v>0</x:v>
      </x:c>
      <x:c r="F27" s="15" t="n">
        <x:f>0</x:f>
        <x:v>0</x:v>
      </x:c>
      <x:c r="G27" s="15" t="n">
        <x:f>0</x:f>
        <x:v>0</x:v>
      </x:c>
      <x:c r="H27" s="15" t="n">
        <x:f>0</x:f>
        <x:v>0</x:v>
      </x:c>
      <x:c r="I27" s="15" t="n">
        <x:f>0</x:f>
        <x:v>0</x:v>
      </x:c>
      <x:c r="J27" s="15" t="n">
        <x:f>0</x:f>
        <x:v>0</x:v>
      </x:c>
      <x:c r="K27" s="15" t="n">
        <x:f>0</x:f>
        <x:v>0</x:v>
      </x:c>
      <x:c r="L27" s="15" t="n">
        <x:f>0</x:f>
        <x:v>0</x:v>
      </x:c>
      <x:c r="M27" s="15" t="n">
        <x:f>0</x:f>
        <x:v>0</x:v>
      </x:c>
      <x:c r="N27" s="15" t="n">
        <x:f>0</x:f>
        <x:v>0</x:v>
      </x:c>
      <x:c r="O27" s="15" t="n">
        <x:f>0</x:f>
        <x:v>0</x:v>
      </x:c>
      <x:c r="P27" s="15" t="n">
        <x:f>0</x:f>
        <x:v>0</x:v>
      </x:c>
      <x:c r="Q27" s="15" t="n">
        <x:f>0</x:f>
        <x:v>0</x:v>
      </x:c>
      <x:c r="R27" s="15" t="n">
        <x:f>0</x:f>
        <x:v>0</x:v>
      </x:c>
      <x:c r="S27" s="15" t="n">
        <x:f>0</x:f>
        <x:v>0</x:v>
      </x:c>
      <x:c r="T27" s="15" t="n">
        <x:f>0</x:f>
        <x:v>0</x:v>
      </x:c>
      <x:c r="U27" s="15" t="n">
        <x:f>0</x:f>
        <x:v>0</x:v>
      </x:c>
      <x:c r="V27" s="15" t="n">
        <x:f>0</x:f>
        <x:v>0</x:v>
      </x:c>
      <x:c r="W27" s="15" t="n">
        <x:f>0</x:f>
        <x:v>0</x:v>
      </x:c>
      <x:c r="X27" s="15" t="n">
        <x:f>0</x:f>
        <x:v>0</x:v>
      </x:c>
      <x:c r="Y27" s="15" t="n">
        <x:f>0</x:f>
        <x:v>0</x:v>
      </x:c>
      <x:c r="Z27" s="15" t="n">
        <x:f>0</x:f>
        <x:v>0</x:v>
      </x:c>
      <x:c r="AA27" s="15" t="n">
        <x:f>0</x:f>
        <x:v>0</x:v>
      </x:c>
      <x:c r="AB27" s="15" t="n">
        <x:f>0</x:f>
        <x:v>0</x:v>
      </x:c>
      <x:c r="AC27" s="15" t="n">
        <x:f>0</x:f>
        <x:v>0</x:v>
      </x:c>
      <x:c r="AD27" s="15" t="n">
        <x:f>0</x:f>
        <x:v>0</x:v>
      </x:c>
      <x:c r="AE27" s="15" t="n">
        <x:f>0</x:f>
        <x:v>0</x:v>
      </x:c>
      <x:c r="AF27" s="15" t="n">
        <x:f>0</x:f>
        <x:v>0</x:v>
      </x:c>
      <x:c r="AG27" s="15" t="n">
        <x:f>0</x:f>
        <x:v>0</x:v>
      </x:c>
      <x:c r="AH27" s="15" t="n">
        <x:f>0</x:f>
        <x:v>0</x:v>
      </x:c>
      <x:c r="AI27" s="15" t="n">
        <x:f>C27</x:f>
        <x:v>1760000</x:v>
      </x:c>
    </x:row>
    <x:row r="28" ht="40" customHeight="1">
      <x:c r="A28" s="9" t="str">
        <x:v>4.3.6</x:v>
      </x:c>
      <x:c r="B28" s="9" t="str">
        <x:v>PP</x:v>
      </x:c>
      <x:c r="C28" s="15" t="n">
        <x:f>'Estimates'!I28</x:f>
        <x:v>2080000</x:v>
      </x:c>
      <x:c r="D28" s="15" t="n">
        <x:f>0</x:f>
        <x:v>0</x:v>
      </x:c>
      <x:c r="E28" s="15" t="n">
        <x:f>0</x:f>
        <x:v>0</x:v>
      </x:c>
      <x:c r="F28" s="15" t="n">
        <x:f>0</x:f>
        <x:v>0</x:v>
      </x:c>
      <x:c r="G28" s="15" t="n">
        <x:f>0</x:f>
        <x:v>0</x:v>
      </x:c>
      <x:c r="H28" s="15" t="n">
        <x:f>0</x:f>
        <x:v>0</x:v>
      </x:c>
      <x:c r="I28" s="15" t="n">
        <x:f>0</x:f>
        <x:v>0</x:v>
      </x:c>
      <x:c r="J28" s="15" t="n">
        <x:f>0</x:f>
        <x:v>0</x:v>
      </x:c>
      <x:c r="K28" s="15" t="n">
        <x:f>0</x:f>
        <x:v>0</x:v>
      </x:c>
      <x:c r="L28" s="15" t="n">
        <x:f>0</x:f>
        <x:v>0</x:v>
      </x:c>
      <x:c r="M28" s="15" t="n">
        <x:f>0</x:f>
        <x:v>0</x:v>
      </x:c>
      <x:c r="N28" s="15" t="n">
        <x:f>0</x:f>
        <x:v>0</x:v>
      </x:c>
      <x:c r="O28" s="15" t="n">
        <x:f>0</x:f>
        <x:v>0</x:v>
      </x:c>
      <x:c r="P28" s="15" t="n">
        <x:f>0</x:f>
        <x:v>0</x:v>
      </x:c>
      <x:c r="Q28" s="15" t="n">
        <x:f>0</x:f>
        <x:v>0</x:v>
      </x:c>
      <x:c r="R28" s="15" t="n">
        <x:f>0</x:f>
        <x:v>0</x:v>
      </x:c>
      <x:c r="S28" s="15" t="n">
        <x:f>0</x:f>
        <x:v>0</x:v>
      </x:c>
      <x:c r="T28" s="15" t="n">
        <x:f>0</x:f>
        <x:v>0</x:v>
      </x:c>
      <x:c r="U28" s="15" t="n">
        <x:f>0</x:f>
        <x:v>0</x:v>
      </x:c>
      <x:c r="V28" s="15" t="n">
        <x:f>0</x:f>
        <x:v>0</x:v>
      </x:c>
      <x:c r="W28" s="15" t="n">
        <x:f>0</x:f>
        <x:v>0</x:v>
      </x:c>
      <x:c r="X28" s="15" t="n">
        <x:f>0</x:f>
        <x:v>0</x:v>
      </x:c>
      <x:c r="Y28" s="15" t="n">
        <x:f>0</x:f>
        <x:v>0</x:v>
      </x:c>
      <x:c r="Z28" s="15" t="n">
        <x:f>0</x:f>
        <x:v>0</x:v>
      </x:c>
      <x:c r="AA28" s="15" t="n">
        <x:f>0</x:f>
        <x:v>0</x:v>
      </x:c>
      <x:c r="AB28" s="15" t="n">
        <x:f>0</x:f>
        <x:v>0</x:v>
      </x:c>
      <x:c r="AC28" s="15" t="n">
        <x:f>0</x:f>
        <x:v>0</x:v>
      </x:c>
      <x:c r="AD28" s="15" t="n">
        <x:f>0</x:f>
        <x:v>0</x:v>
      </x:c>
      <x:c r="AE28" s="15" t="n">
        <x:f>0</x:f>
        <x:v>0</x:v>
      </x:c>
      <x:c r="AF28" s="15" t="n">
        <x:f>0</x:f>
        <x:v>0</x:v>
      </x:c>
      <x:c r="AG28" s="15" t="n">
        <x:f>0</x:f>
        <x:v>0</x:v>
      </x:c>
      <x:c r="AH28" s="15" t="n">
        <x:f>0</x:f>
        <x:v>0</x:v>
      </x:c>
      <x:c r="AI28" s="15" t="n">
        <x:f>C28</x:f>
        <x:v>2080000</x:v>
      </x:c>
    </x:row>
    <x:row r="29" ht="40" customHeight="1">
      <x:c r="A29" s="9" t="str">
        <x:v>4.4.1</x:v>
      </x:c>
      <x:c r="B29" s="9" t="str">
        <x:v>WP</x:v>
      </x:c>
      <x:c r="C29" s="15" t="n">
        <x:f>'Estimates'!I29</x:f>
        <x:v>1760000</x:v>
      </x:c>
      <x:c r="D29" s="15" t="n">
        <x:f>$C29*0</x:f>
        <x:v>0</x:v>
      </x:c>
      <x:c r="E29" s="15" t="n">
        <x:f>$C29*0</x:f>
        <x:v>0</x:v>
      </x:c>
      <x:c r="F29" s="15" t="n">
        <x:f>$C29*0</x:f>
        <x:v>0</x:v>
      </x:c>
      <x:c r="G29" s="15" t="n">
        <x:f>$C29*0</x:f>
        <x:v>0</x:v>
      </x:c>
      <x:c r="H29" s="15" t="n">
        <x:f>$C29*0</x:f>
        <x:v>0</x:v>
      </x:c>
      <x:c r="I29" s="15" t="n">
        <x:f>$C29*0</x:f>
        <x:v>0</x:v>
      </x:c>
      <x:c r="J29" s="15" t="n">
        <x:f>$C29*0</x:f>
        <x:v>0</x:v>
      </x:c>
      <x:c r="K29" s="15" t="n">
        <x:f>$C29*0</x:f>
        <x:v>0</x:v>
      </x:c>
      <x:c r="L29" s="15" t="n">
        <x:f>$C29*0</x:f>
        <x:v>0</x:v>
      </x:c>
      <x:c r="M29" s="15" t="n">
        <x:f>$C29*0</x:f>
        <x:v>0</x:v>
      </x:c>
      <x:c r="N29" s="15" t="n">
        <x:f>$C29*0</x:f>
        <x:v>0</x:v>
      </x:c>
      <x:c r="O29" s="15" t="n">
        <x:f>$C29*0</x:f>
        <x:v>0</x:v>
      </x:c>
      <x:c r="P29" s="15" t="n">
        <x:f>$C29*0</x:f>
        <x:v>0</x:v>
      </x:c>
      <x:c r="Q29" s="15" t="n">
        <x:f>$C29*0</x:f>
        <x:v>0</x:v>
      </x:c>
      <x:c r="R29" s="15" t="n">
        <x:f>$C29*0</x:f>
        <x:v>0</x:v>
      </x:c>
      <x:c r="S29" s="15" t="n">
        <x:f>$C29*0</x:f>
        <x:v>0</x:v>
      </x:c>
      <x:c r="T29" s="15" t="n">
        <x:f>$C29*0</x:f>
        <x:v>0</x:v>
      </x:c>
      <x:c r="U29" s="15" t="n">
        <x:f>$C29*0</x:f>
        <x:v>0</x:v>
      </x:c>
      <x:c r="V29" s="15" t="n">
        <x:f>$C29*0</x:f>
        <x:v>0</x:v>
      </x:c>
      <x:c r="W29" s="15" t="n">
        <x:f>$C29*0.16666666666666752</x:f>
        <x:v>293333.3333333348</x:v>
      </x:c>
      <x:c r="X29" s="15" t="n">
        <x:f>$C29*0.45454545454545453</x:f>
        <x:v>800000</x:v>
      </x:c>
      <x:c r="Y29" s="15" t="n">
        <x:f>$C29*0.37878787878787795</x:f>
        <x:v>666666.6666666652</x:v>
      </x:c>
      <x:c r="Z29" s="15" t="n">
        <x:f>$C29*0</x:f>
        <x:v>0</x:v>
      </x:c>
      <x:c r="AA29" s="15" t="n">
        <x:f>$C29*0</x:f>
        <x:v>0</x:v>
      </x:c>
      <x:c r="AB29" s="15" t="n">
        <x:f>$C29*0</x:f>
        <x:v>0</x:v>
      </x:c>
      <x:c r="AC29" s="15" t="n">
        <x:f>$C29*0</x:f>
        <x:v>0</x:v>
      </x:c>
      <x:c r="AD29" s="15" t="n">
        <x:f>$C29*0</x:f>
        <x:v>0</x:v>
      </x:c>
      <x:c r="AE29" s="15" t="n">
        <x:f>$C29*0</x:f>
        <x:v>0</x:v>
      </x:c>
      <x:c r="AF29" s="15" t="n">
        <x:f>$C29*0</x:f>
        <x:v>0</x:v>
      </x:c>
      <x:c r="AG29" s="15" t="n">
        <x:f>$C29*0</x:f>
        <x:v>0</x:v>
      </x:c>
      <x:c r="AH29" s="15" t="n">
        <x:f>$C29*0</x:f>
        <x:v>0</x:v>
      </x:c>
      <x:c r="AI29" s="15" t="n">
        <x:f>0</x:f>
        <x:v>0</x:v>
      </x:c>
    </x:row>
    <x:row r="30" ht="40" customHeight="1">
      <x:c r="A30" s="9" t="str">
        <x:v>4.4.2</x:v>
      </x:c>
      <x:c r="B30" s="9" t="str">
        <x:v>PP</x:v>
      </x:c>
      <x:c r="C30" s="15" t="n">
        <x:f>'Estimates'!I30</x:f>
        <x:v>1600000</x:v>
      </x:c>
      <x:c r="D30" s="15" t="n">
        <x:f>0</x:f>
        <x:v>0</x:v>
      </x:c>
      <x:c r="E30" s="15" t="n">
        <x:f>0</x:f>
        <x:v>0</x:v>
      </x:c>
      <x:c r="F30" s="15" t="n">
        <x:f>0</x:f>
        <x:v>0</x:v>
      </x:c>
      <x:c r="G30" s="15" t="n">
        <x:f>0</x:f>
        <x:v>0</x:v>
      </x:c>
      <x:c r="H30" s="15" t="n">
        <x:f>0</x:f>
        <x:v>0</x:v>
      </x:c>
      <x:c r="I30" s="15" t="n">
        <x:f>0</x:f>
        <x:v>0</x:v>
      </x:c>
      <x:c r="J30" s="15" t="n">
        <x:f>0</x:f>
        <x:v>0</x:v>
      </x:c>
      <x:c r="K30" s="15" t="n">
        <x:f>0</x:f>
        <x:v>0</x:v>
      </x:c>
      <x:c r="L30" s="15" t="n">
        <x:f>0</x:f>
        <x:v>0</x:v>
      </x:c>
      <x:c r="M30" s="15" t="n">
        <x:f>0</x:f>
        <x:v>0</x:v>
      </x:c>
      <x:c r="N30" s="15" t="n">
        <x:f>0</x:f>
        <x:v>0</x:v>
      </x:c>
      <x:c r="O30" s="15" t="n">
        <x:f>0</x:f>
        <x:v>0</x:v>
      </x:c>
      <x:c r="P30" s="15" t="n">
        <x:f>0</x:f>
        <x:v>0</x:v>
      </x:c>
      <x:c r="Q30" s="15" t="n">
        <x:f>0</x:f>
        <x:v>0</x:v>
      </x:c>
      <x:c r="R30" s="15" t="n">
        <x:f>0</x:f>
        <x:v>0</x:v>
      </x:c>
      <x:c r="S30" s="15" t="n">
        <x:f>0</x:f>
        <x:v>0</x:v>
      </x:c>
      <x:c r="T30" s="15" t="n">
        <x:f>0</x:f>
        <x:v>0</x:v>
      </x:c>
      <x:c r="U30" s="15" t="n">
        <x:f>0</x:f>
        <x:v>0</x:v>
      </x:c>
      <x:c r="V30" s="15" t="n">
        <x:f>0</x:f>
        <x:v>0</x:v>
      </x:c>
      <x:c r="W30" s="15" t="n">
        <x:f>0</x:f>
        <x:v>0</x:v>
      </x:c>
      <x:c r="X30" s="15" t="n">
        <x:f>0</x:f>
        <x:v>0</x:v>
      </x:c>
      <x:c r="Y30" s="15" t="n">
        <x:f>0</x:f>
        <x:v>0</x:v>
      </x:c>
      <x:c r="Z30" s="15" t="n">
        <x:f>0</x:f>
        <x:v>0</x:v>
      </x:c>
      <x:c r="AA30" s="15" t="n">
        <x:f>0</x:f>
        <x:v>0</x:v>
      </x:c>
      <x:c r="AB30" s="15" t="n">
        <x:f>0</x:f>
        <x:v>0</x:v>
      </x:c>
      <x:c r="AC30" s="15" t="n">
        <x:f>0</x:f>
        <x:v>0</x:v>
      </x:c>
      <x:c r="AD30" s="15" t="n">
        <x:f>0</x:f>
        <x:v>0</x:v>
      </x:c>
      <x:c r="AE30" s="15" t="n">
        <x:f>0</x:f>
        <x:v>0</x:v>
      </x:c>
      <x:c r="AF30" s="15" t="n">
        <x:f>0</x:f>
        <x:v>0</x:v>
      </x:c>
      <x:c r="AG30" s="15" t="n">
        <x:f>0</x:f>
        <x:v>0</x:v>
      </x:c>
      <x:c r="AH30" s="15" t="n">
        <x:f>0</x:f>
        <x:v>0</x:v>
      </x:c>
      <x:c r="AI30" s="15" t="n">
        <x:f>C30</x:f>
        <x:v>1600000</x:v>
      </x:c>
    </x:row>
    <x:row r="31" ht="40" customHeight="1">
      <x:c r="A31" s="9" t="str">
        <x:v>4.4.3</x:v>
      </x:c>
      <x:c r="B31" s="9" t="str">
        <x:v>WP</x:v>
      </x:c>
      <x:c r="C31" s="15" t="n">
        <x:f>'Estimates'!I31</x:f>
        <x:v>1120000</x:v>
      </x:c>
      <x:c r="D31" s="15" t="n">
        <x:f>$C31*0</x:f>
        <x:v>0</x:v>
      </x:c>
      <x:c r="E31" s="15" t="n">
        <x:f>$C31*0</x:f>
        <x:v>0</x:v>
      </x:c>
      <x:c r="F31" s="15" t="n">
        <x:f>$C31*0</x:f>
        <x:v>0</x:v>
      </x:c>
      <x:c r="G31" s="15" t="n">
        <x:f>$C31*0</x:f>
        <x:v>0</x:v>
      </x:c>
      <x:c r="H31" s="15" t="n">
        <x:f>$C31*0</x:f>
        <x:v>0</x:v>
      </x:c>
      <x:c r="I31" s="15" t="n">
        <x:f>$C31*0</x:f>
        <x:v>0</x:v>
      </x:c>
      <x:c r="J31" s="15" t="n">
        <x:f>$C31*0</x:f>
        <x:v>0</x:v>
      </x:c>
      <x:c r="K31" s="15" t="n">
        <x:f>$C31*0</x:f>
        <x:v>0</x:v>
      </x:c>
      <x:c r="L31" s="15" t="n">
        <x:f>$C31*0</x:f>
        <x:v>0</x:v>
      </x:c>
      <x:c r="M31" s="15" t="n">
        <x:f>$C31*0</x:f>
        <x:v>0</x:v>
      </x:c>
      <x:c r="N31" s="15" t="n">
        <x:f>$C31*0</x:f>
        <x:v>0</x:v>
      </x:c>
      <x:c r="O31" s="15" t="n">
        <x:f>$C31*0</x:f>
        <x:v>0</x:v>
      </x:c>
      <x:c r="P31" s="15" t="n">
        <x:f>$C31*0</x:f>
        <x:v>0</x:v>
      </x:c>
      <x:c r="Q31" s="15" t="n">
        <x:f>$C31*0</x:f>
        <x:v>0</x:v>
      </x:c>
      <x:c r="R31" s="15" t="n">
        <x:f>$C31*0</x:f>
        <x:v>0</x:v>
      </x:c>
      <x:c r="S31" s="15" t="n">
        <x:f>$C31*0</x:f>
        <x:v>0</x:v>
      </x:c>
      <x:c r="T31" s="15" t="n">
        <x:f>$C31*0</x:f>
        <x:v>0</x:v>
      </x:c>
      <x:c r="U31" s="15" t="n">
        <x:f>$C31*0</x:f>
        <x:v>0</x:v>
      </x:c>
      <x:c r="V31" s="15" t="n">
        <x:f>$C31*0</x:f>
        <x:v>0</x:v>
      </x:c>
      <x:c r="W31" s="15" t="n">
        <x:f>$C31*0</x:f>
        <x:v>0</x:v>
      </x:c>
      <x:c r="X31" s="15" t="n">
        <x:f>$C31*0</x:f>
        <x:v>0</x:v>
      </x:c>
      <x:c r="Y31" s="15" t="n">
        <x:f>$C31*0.1190476190476204</x:f>
        <x:v>133333.33333333486</x:v>
      </x:c>
      <x:c r="Z31" s="15" t="n">
        <x:f>$C31*0.7142857142857143</x:f>
        <x:v>800000</x:v>
      </x:c>
      <x:c r="AA31" s="15" t="n">
        <x:f>$C31*0.16666666666666533</x:f>
        <x:v>186666.66666666517</x:v>
      </x:c>
      <x:c r="AB31" s="15" t="n">
        <x:f>$C31*0</x:f>
        <x:v>0</x:v>
      </x:c>
      <x:c r="AC31" s="15" t="n">
        <x:f>$C31*0</x:f>
        <x:v>0</x:v>
      </x:c>
      <x:c r="AD31" s="15" t="n">
        <x:f>$C31*0</x:f>
        <x:v>0</x:v>
      </x:c>
      <x:c r="AE31" s="15" t="n">
        <x:f>$C31*0</x:f>
        <x:v>0</x:v>
      </x:c>
      <x:c r="AF31" s="15" t="n">
        <x:f>$C31*0</x:f>
        <x:v>0</x:v>
      </x:c>
      <x:c r="AG31" s="15" t="n">
        <x:f>$C31*0</x:f>
        <x:v>0</x:v>
      </x:c>
      <x:c r="AH31" s="15" t="n">
        <x:f>$C31*0</x:f>
        <x:v>0</x:v>
      </x:c>
      <x:c r="AI31" s="15" t="n">
        <x:f>0</x:f>
        <x:v>0</x:v>
      </x:c>
    </x:row>
    <x:row r="32" ht="40" customHeight="1">
      <x:c r="A32" s="9" t="str">
        <x:v>4.4.4</x:v>
      </x:c>
      <x:c r="B32" s="9" t="str">
        <x:v>PP</x:v>
      </x:c>
      <x:c r="C32" s="15" t="n">
        <x:f>'Estimates'!I32</x:f>
        <x:v>1280000</x:v>
      </x:c>
      <x:c r="D32" s="15" t="n">
        <x:f>0</x:f>
        <x:v>0</x:v>
      </x:c>
      <x:c r="E32" s="15" t="n">
        <x:f>0</x:f>
        <x:v>0</x:v>
      </x:c>
      <x:c r="F32" s="15" t="n">
        <x:f>0</x:f>
        <x:v>0</x:v>
      </x:c>
      <x:c r="G32" s="15" t="n">
        <x:f>0</x:f>
        <x:v>0</x:v>
      </x:c>
      <x:c r="H32" s="15" t="n">
        <x:f>0</x:f>
        <x:v>0</x:v>
      </x:c>
      <x:c r="I32" s="15" t="n">
        <x:f>0</x:f>
        <x:v>0</x:v>
      </x:c>
      <x:c r="J32" s="15" t="n">
        <x:f>0</x:f>
        <x:v>0</x:v>
      </x:c>
      <x:c r="K32" s="15" t="n">
        <x:f>0</x:f>
        <x:v>0</x:v>
      </x:c>
      <x:c r="L32" s="15" t="n">
        <x:f>0</x:f>
        <x:v>0</x:v>
      </x:c>
      <x:c r="M32" s="15" t="n">
        <x:f>0</x:f>
        <x:v>0</x:v>
      </x:c>
      <x:c r="N32" s="15" t="n">
        <x:f>0</x:f>
        <x:v>0</x:v>
      </x:c>
      <x:c r="O32" s="15" t="n">
        <x:f>0</x:f>
        <x:v>0</x:v>
      </x:c>
      <x:c r="P32" s="15" t="n">
        <x:f>0</x:f>
        <x:v>0</x:v>
      </x:c>
      <x:c r="Q32" s="15" t="n">
        <x:f>0</x:f>
        <x:v>0</x:v>
      </x:c>
      <x:c r="R32" s="15" t="n">
        <x:f>0</x:f>
        <x:v>0</x:v>
      </x:c>
      <x:c r="S32" s="15" t="n">
        <x:f>0</x:f>
        <x:v>0</x:v>
      </x:c>
      <x:c r="T32" s="15" t="n">
        <x:f>0</x:f>
        <x:v>0</x:v>
      </x:c>
      <x:c r="U32" s="15" t="n">
        <x:f>0</x:f>
        <x:v>0</x:v>
      </x:c>
      <x:c r="V32" s="15" t="n">
        <x:f>0</x:f>
        <x:v>0</x:v>
      </x:c>
      <x:c r="W32" s="15" t="n">
        <x:f>0</x:f>
        <x:v>0</x:v>
      </x:c>
      <x:c r="X32" s="15" t="n">
        <x:f>0</x:f>
        <x:v>0</x:v>
      </x:c>
      <x:c r="Y32" s="15" t="n">
        <x:f>0</x:f>
        <x:v>0</x:v>
      </x:c>
      <x:c r="Z32" s="15" t="n">
        <x:f>0</x:f>
        <x:v>0</x:v>
      </x:c>
      <x:c r="AA32" s="15" t="n">
        <x:f>0</x:f>
        <x:v>0</x:v>
      </x:c>
      <x:c r="AB32" s="15" t="n">
        <x:f>0</x:f>
        <x:v>0</x:v>
      </x:c>
      <x:c r="AC32" s="15" t="n">
        <x:f>0</x:f>
        <x:v>0</x:v>
      </x:c>
      <x:c r="AD32" s="15" t="n">
        <x:f>0</x:f>
        <x:v>0</x:v>
      </x:c>
      <x:c r="AE32" s="15" t="n">
        <x:f>0</x:f>
        <x:v>0</x:v>
      </x:c>
      <x:c r="AF32" s="15" t="n">
        <x:f>0</x:f>
        <x:v>0</x:v>
      </x:c>
      <x:c r="AG32" s="15" t="n">
        <x:f>0</x:f>
        <x:v>0</x:v>
      </x:c>
      <x:c r="AH32" s="15" t="n">
        <x:f>0</x:f>
        <x:v>0</x:v>
      </x:c>
      <x:c r="AI32" s="15" t="n">
        <x:f>C32</x:f>
        <x:v>1280000</x:v>
      </x:c>
    </x:row>
    <x:row r="33" ht="40" customHeight="1">
      <x:c r="A33" s="9" t="str">
        <x:v>5.1</x:v>
      </x:c>
      <x:c r="B33" s="9" t="str">
        <x:v>WP</x:v>
      </x:c>
      <x:c r="C33" s="15" t="n">
        <x:f>'Estimates'!I33</x:f>
        <x:v>1306666.6666666665</x:v>
      </x:c>
      <x:c r="D33" s="15" t="n">
        <x:f>$C33*0</x:f>
        <x:v>0</x:v>
      </x:c>
      <x:c r="E33" s="15" t="n">
        <x:f>$C33*0</x:f>
        <x:v>0</x:v>
      </x:c>
      <x:c r="F33" s="15" t="n">
        <x:f>$C33*0</x:f>
        <x:v>0</x:v>
      </x:c>
      <x:c r="G33" s="15" t="n">
        <x:f>$C33*0</x:f>
        <x:v>0</x:v>
      </x:c>
      <x:c r="H33" s="15" t="n">
        <x:f>$C33*0</x:f>
        <x:v>0</x:v>
      </x:c>
      <x:c r="I33" s="15" t="n">
        <x:f>$C33*0</x:f>
        <x:v>0</x:v>
      </x:c>
      <x:c r="J33" s="15" t="n">
        <x:f>$C33*0</x:f>
        <x:v>0</x:v>
      </x:c>
      <x:c r="K33" s="15" t="n">
        <x:f>$C33*0</x:f>
        <x:v>0</x:v>
      </x:c>
      <x:c r="L33" s="15" t="n">
        <x:f>$C33*0</x:f>
        <x:v>0</x:v>
      </x:c>
      <x:c r="M33" s="15" t="n">
        <x:f>$C33*0</x:f>
        <x:v>0</x:v>
      </x:c>
      <x:c r="N33" s="15" t="n">
        <x:f>$C33*0</x:f>
        <x:v>0</x:v>
      </x:c>
      <x:c r="O33" s="15" t="n">
        <x:f>$C33*0</x:f>
        <x:v>0</x:v>
      </x:c>
      <x:c r="P33" s="15" t="n">
        <x:f>$C33*0</x:f>
        <x:v>0</x:v>
      </x:c>
      <x:c r="Q33" s="15" t="n">
        <x:f>$C33*0</x:f>
        <x:v>0</x:v>
      </x:c>
      <x:c r="R33" s="15" t="n">
        <x:f>$C33*0</x:f>
        <x:v>0</x:v>
      </x:c>
      <x:c r="S33" s="15" t="n">
        <x:f>$C33*0</x:f>
        <x:v>0</x:v>
      </x:c>
      <x:c r="T33" s="15" t="n">
        <x:f>$C33*0</x:f>
        <x:v>0</x:v>
      </x:c>
      <x:c r="U33" s="15" t="n">
        <x:f>$C33*0</x:f>
        <x:v>0</x:v>
      </x:c>
      <x:c r="V33" s="15" t="n">
        <x:f>$C33*0</x:f>
        <x:v>0</x:v>
      </x:c>
      <x:c r="W33" s="15" t="n">
        <x:f>$C33*0</x:f>
        <x:v>0</x:v>
      </x:c>
      <x:c r="X33" s="15" t="n">
        <x:f>$C33*0</x:f>
        <x:v>0</x:v>
      </x:c>
      <x:c r="Y33" s="15" t="n">
        <x:f>$C33*0</x:f>
        <x:v>0</x:v>
      </x:c>
      <x:c r="Z33" s="15" t="n">
        <x:f>$C33*0</x:f>
        <x:v>0</x:v>
      </x:c>
      <x:c r="AA33" s="15" t="n">
        <x:f>$C33*0</x:f>
        <x:v>0</x:v>
      </x:c>
      <x:c r="AB33" s="15" t="n">
        <x:f>$C33*0</x:f>
        <x:v>0</x:v>
      </x:c>
      <x:c r="AC33" s="15" t="n">
        <x:f>$C33*0</x:f>
        <x:v>0</x:v>
      </x:c>
      <x:c r="AD33" s="15" t="n">
        <x:f>$C33*0.3673469387755102</x:f>
        <x:v>479999.99999999994</x:v>
      </x:c>
      <x:c r="AE33" s="15" t="n">
        <x:f>$C33*0.6122448979591837</x:f>
        <x:v>799999.9999999999</x:v>
      </x:c>
      <x:c r="AF33" s="15" t="n">
        <x:f>$C33*0.020408163265304965</x:f>
        <x:v>26666.66666666515</x:v>
      </x:c>
      <x:c r="AG33" s="15" t="n">
        <x:f>$C33*0</x:f>
        <x:v>0</x:v>
      </x:c>
      <x:c r="AH33" s="15" t="n">
        <x:f>$C33*0</x:f>
        <x:v>0</x:v>
      </x:c>
      <x:c r="AI33" s="15" t="n">
        <x:f>0</x:f>
        <x:v>0</x:v>
      </x:c>
    </x:row>
    <x:row r="34" ht="40" customHeight="1">
      <x:c r="A34" s="9" t="str">
        <x:v>5.2</x:v>
      </x:c>
      <x:c r="B34" s="9" t="str">
        <x:v>PP</x:v>
      </x:c>
      <x:c r="C34" s="15" t="n">
        <x:f>'Estimates'!I34</x:f>
        <x:v>2240000</x:v>
      </x:c>
      <x:c r="D34" s="15" t="n">
        <x:f>0</x:f>
        <x:v>0</x:v>
      </x:c>
      <x:c r="E34" s="15" t="n">
        <x:f>0</x:f>
        <x:v>0</x:v>
      </x:c>
      <x:c r="F34" s="15" t="n">
        <x:f>0</x:f>
        <x:v>0</x:v>
      </x:c>
      <x:c r="G34" s="15" t="n">
        <x:f>0</x:f>
        <x:v>0</x:v>
      </x:c>
      <x:c r="H34" s="15" t="n">
        <x:f>0</x:f>
        <x:v>0</x:v>
      </x:c>
      <x:c r="I34" s="15" t="n">
        <x:f>0</x:f>
        <x:v>0</x:v>
      </x:c>
      <x:c r="J34" s="15" t="n">
        <x:f>0</x:f>
        <x:v>0</x:v>
      </x:c>
      <x:c r="K34" s="15" t="n">
        <x:f>0</x:f>
        <x:v>0</x:v>
      </x:c>
      <x:c r="L34" s="15" t="n">
        <x:f>0</x:f>
        <x:v>0</x:v>
      </x:c>
      <x:c r="M34" s="15" t="n">
        <x:f>0</x:f>
        <x:v>0</x:v>
      </x:c>
      <x:c r="N34" s="15" t="n">
        <x:f>0</x:f>
        <x:v>0</x:v>
      </x:c>
      <x:c r="O34" s="15" t="n">
        <x:f>0</x:f>
        <x:v>0</x:v>
      </x:c>
      <x:c r="P34" s="15" t="n">
        <x:f>0</x:f>
        <x:v>0</x:v>
      </x:c>
      <x:c r="Q34" s="15" t="n">
        <x:f>0</x:f>
        <x:v>0</x:v>
      </x:c>
      <x:c r="R34" s="15" t="n">
        <x:f>0</x:f>
        <x:v>0</x:v>
      </x:c>
      <x:c r="S34" s="15" t="n">
        <x:f>0</x:f>
        <x:v>0</x:v>
      </x:c>
      <x:c r="T34" s="15" t="n">
        <x:f>0</x:f>
        <x:v>0</x:v>
      </x:c>
      <x:c r="U34" s="15" t="n">
        <x:f>0</x:f>
        <x:v>0</x:v>
      </x:c>
      <x:c r="V34" s="15" t="n">
        <x:f>0</x:f>
        <x:v>0</x:v>
      </x:c>
      <x:c r="W34" s="15" t="n">
        <x:f>0</x:f>
        <x:v>0</x:v>
      </x:c>
      <x:c r="X34" s="15" t="n">
        <x:f>0</x:f>
        <x:v>0</x:v>
      </x:c>
      <x:c r="Y34" s="15" t="n">
        <x:f>0</x:f>
        <x:v>0</x:v>
      </x:c>
      <x:c r="Z34" s="15" t="n">
        <x:f>0</x:f>
        <x:v>0</x:v>
      </x:c>
      <x:c r="AA34" s="15" t="n">
        <x:f>0</x:f>
        <x:v>0</x:v>
      </x:c>
      <x:c r="AB34" s="15" t="n">
        <x:f>0</x:f>
        <x:v>0</x:v>
      </x:c>
      <x:c r="AC34" s="15" t="n">
        <x:f>0</x:f>
        <x:v>0</x:v>
      </x:c>
      <x:c r="AD34" s="15" t="n">
        <x:f>0</x:f>
        <x:v>0</x:v>
      </x:c>
      <x:c r="AE34" s="15" t="n">
        <x:f>0</x:f>
        <x:v>0</x:v>
      </x:c>
      <x:c r="AF34" s="15" t="n">
        <x:f>0</x:f>
        <x:v>0</x:v>
      </x:c>
      <x:c r="AG34" s="15" t="n">
        <x:f>0</x:f>
        <x:v>0</x:v>
      </x:c>
      <x:c r="AH34" s="15" t="n">
        <x:f>0</x:f>
        <x:v>0</x:v>
      </x:c>
      <x:c r="AI34" s="15" t="n">
        <x:f>C34</x:f>
        <x:v>2240000</x:v>
      </x:c>
    </x:row>
    <x:row r="35" ht="40" customHeight="1">
      <x:c r="A35" s="9" t="str">
        <x:v>5.3</x:v>
      </x:c>
      <x:c r="B35" s="9" t="str">
        <x:v>PP</x:v>
      </x:c>
      <x:c r="C35" s="15" t="n">
        <x:f>'Estimates'!I35</x:f>
        <x:v>1653333.3333333335</x:v>
      </x:c>
      <x:c r="D35" s="15" t="n">
        <x:f>0</x:f>
        <x:v>0</x:v>
      </x:c>
      <x:c r="E35" s="15" t="n">
        <x:f>0</x:f>
        <x:v>0</x:v>
      </x:c>
      <x:c r="F35" s="15" t="n">
        <x:f>0</x:f>
        <x:v>0</x:v>
      </x:c>
      <x:c r="G35" s="15" t="n">
        <x:f>0</x:f>
        <x:v>0</x:v>
      </x:c>
      <x:c r="H35" s="15" t="n">
        <x:f>0</x:f>
        <x:v>0</x:v>
      </x:c>
      <x:c r="I35" s="15" t="n">
        <x:f>0</x:f>
        <x:v>0</x:v>
      </x:c>
      <x:c r="J35" s="15" t="n">
        <x:f>0</x:f>
        <x:v>0</x:v>
      </x:c>
      <x:c r="K35" s="15" t="n">
        <x:f>0</x:f>
        <x:v>0</x:v>
      </x:c>
      <x:c r="L35" s="15" t="n">
        <x:f>0</x:f>
        <x:v>0</x:v>
      </x:c>
      <x:c r="M35" s="15" t="n">
        <x:f>0</x:f>
        <x:v>0</x:v>
      </x:c>
      <x:c r="N35" s="15" t="n">
        <x:f>0</x:f>
        <x:v>0</x:v>
      </x:c>
      <x:c r="O35" s="15" t="n">
        <x:f>0</x:f>
        <x:v>0</x:v>
      </x:c>
      <x:c r="P35" s="15" t="n">
        <x:f>0</x:f>
        <x:v>0</x:v>
      </x:c>
      <x:c r="Q35" s="15" t="n">
        <x:f>0</x:f>
        <x:v>0</x:v>
      </x:c>
      <x:c r="R35" s="15" t="n">
        <x:f>0</x:f>
        <x:v>0</x:v>
      </x:c>
      <x:c r="S35" s="15" t="n">
        <x:f>0</x:f>
        <x:v>0</x:v>
      </x:c>
      <x:c r="T35" s="15" t="n">
        <x:f>0</x:f>
        <x:v>0</x:v>
      </x:c>
      <x:c r="U35" s="15" t="n">
        <x:f>0</x:f>
        <x:v>0</x:v>
      </x:c>
      <x:c r="V35" s="15" t="n">
        <x:f>0</x:f>
        <x:v>0</x:v>
      </x:c>
      <x:c r="W35" s="15" t="n">
        <x:f>0</x:f>
        <x:v>0</x:v>
      </x:c>
      <x:c r="X35" s="15" t="n">
        <x:f>0</x:f>
        <x:v>0</x:v>
      </x:c>
      <x:c r="Y35" s="15" t="n">
        <x:f>0</x:f>
        <x:v>0</x:v>
      </x:c>
      <x:c r="Z35" s="15" t="n">
        <x:f>0</x:f>
        <x:v>0</x:v>
      </x:c>
      <x:c r="AA35" s="15" t="n">
        <x:f>0</x:f>
        <x:v>0</x:v>
      </x:c>
      <x:c r="AB35" s="15" t="n">
        <x:f>0</x:f>
        <x:v>0</x:v>
      </x:c>
      <x:c r="AC35" s="15" t="n">
        <x:f>0</x:f>
        <x:v>0</x:v>
      </x:c>
      <x:c r="AD35" s="15" t="n">
        <x:f>0</x:f>
        <x:v>0</x:v>
      </x:c>
      <x:c r="AE35" s="15" t="n">
        <x:f>0</x:f>
        <x:v>0</x:v>
      </x:c>
      <x:c r="AF35" s="15" t="n">
        <x:f>0</x:f>
        <x:v>0</x:v>
      </x:c>
      <x:c r="AG35" s="15" t="n">
        <x:f>0</x:f>
        <x:v>0</x:v>
      </x:c>
      <x:c r="AH35" s="15" t="n">
        <x:f>0</x:f>
        <x:v>0</x:v>
      </x:c>
      <x:c r="AI35" s="15" t="n">
        <x:f>C35</x:f>
        <x:v>1653333.3333333335</x:v>
      </x:c>
    </x:row>
    <x:row r="36" ht="40" customHeight="1">
      <x:c r="A36" s="9" t="str">
        <x:v>6.1</x:v>
      </x:c>
      <x:c r="B36" s="9" t="str">
        <x:v>PP</x:v>
      </x:c>
      <x:c r="C36" s="15" t="n">
        <x:f>'Estimates'!I36</x:f>
        <x:v>1600000</x:v>
      </x:c>
      <x:c r="D36" s="15" t="n">
        <x:f>0</x:f>
        <x:v>0</x:v>
      </x:c>
      <x:c r="E36" s="15" t="n">
        <x:f>0</x:f>
        <x:v>0</x:v>
      </x:c>
      <x:c r="F36" s="15" t="n">
        <x:f>0</x:f>
        <x:v>0</x:v>
      </x:c>
      <x:c r="G36" s="15" t="n">
        <x:f>0</x:f>
        <x:v>0</x:v>
      </x:c>
      <x:c r="H36" s="15" t="n">
        <x:f>0</x:f>
        <x:v>0</x:v>
      </x:c>
      <x:c r="I36" s="15" t="n">
        <x:f>0</x:f>
        <x:v>0</x:v>
      </x:c>
      <x:c r="J36" s="15" t="n">
        <x:f>0</x:f>
        <x:v>0</x:v>
      </x:c>
      <x:c r="K36" s="15" t="n">
        <x:f>0</x:f>
        <x:v>0</x:v>
      </x:c>
      <x:c r="L36" s="15" t="n">
        <x:f>0</x:f>
        <x:v>0</x:v>
      </x:c>
      <x:c r="M36" s="15" t="n">
        <x:f>0</x:f>
        <x:v>0</x:v>
      </x:c>
      <x:c r="N36" s="15" t="n">
        <x:f>0</x:f>
        <x:v>0</x:v>
      </x:c>
      <x:c r="O36" s="15" t="n">
        <x:f>0</x:f>
        <x:v>0</x:v>
      </x:c>
      <x:c r="P36" s="15" t="n">
        <x:f>0</x:f>
        <x:v>0</x:v>
      </x:c>
      <x:c r="Q36" s="15" t="n">
        <x:f>0</x:f>
        <x:v>0</x:v>
      </x:c>
      <x:c r="R36" s="15" t="n">
        <x:f>0</x:f>
        <x:v>0</x:v>
      </x:c>
      <x:c r="S36" s="15" t="n">
        <x:f>0</x:f>
        <x:v>0</x:v>
      </x:c>
      <x:c r="T36" s="15" t="n">
        <x:f>0</x:f>
        <x:v>0</x:v>
      </x:c>
      <x:c r="U36" s="15" t="n">
        <x:f>0</x:f>
        <x:v>0</x:v>
      </x:c>
      <x:c r="V36" s="15" t="n">
        <x:f>0</x:f>
        <x:v>0</x:v>
      </x:c>
      <x:c r="W36" s="15" t="n">
        <x:f>0</x:f>
        <x:v>0</x:v>
      </x:c>
      <x:c r="X36" s="15" t="n">
        <x:f>0</x:f>
        <x:v>0</x:v>
      </x:c>
      <x:c r="Y36" s="15" t="n">
        <x:f>0</x:f>
        <x:v>0</x:v>
      </x:c>
      <x:c r="Z36" s="15" t="n">
        <x:f>0</x:f>
        <x:v>0</x:v>
      </x:c>
      <x:c r="AA36" s="15" t="n">
        <x:f>0</x:f>
        <x:v>0</x:v>
      </x:c>
      <x:c r="AB36" s="15" t="n">
        <x:f>0</x:f>
        <x:v>0</x:v>
      </x:c>
      <x:c r="AC36" s="15" t="n">
        <x:f>0</x:f>
        <x:v>0</x:v>
      </x:c>
      <x:c r="AD36" s="15" t="n">
        <x:f>0</x:f>
        <x:v>0</x:v>
      </x:c>
      <x:c r="AE36" s="15" t="n">
        <x:f>0</x:f>
        <x:v>0</x:v>
      </x:c>
      <x:c r="AF36" s="15" t="n">
        <x:f>0</x:f>
        <x:v>0</x:v>
      </x:c>
      <x:c r="AG36" s="15" t="n">
        <x:f>0</x:f>
        <x:v>0</x:v>
      </x:c>
      <x:c r="AH36" s="15" t="n">
        <x:f>0</x:f>
        <x:v>0</x:v>
      </x:c>
      <x:c r="AI36" s="15" t="n">
        <x:f>C36</x:f>
        <x:v>1600000</x:v>
      </x:c>
    </x:row>
    <x:row r="37" ht="40" customHeight="1">
      <x:c r="A37" s="9" t="str">
        <x:v>6.2</x:v>
      </x:c>
      <x:c r="B37" s="9" t="str">
        <x:v>WP</x:v>
      </x:c>
      <x:c r="C37" s="15" t="n">
        <x:f>'Estimates'!I37</x:f>
        <x:v>800000</x:v>
      </x:c>
      <x:c r="D37" s="15" t="n">
        <x:f>$C37*0</x:f>
        <x:v>0</x:v>
      </x:c>
      <x:c r="E37" s="15" t="n">
        <x:f>$C37*0</x:f>
        <x:v>0</x:v>
      </x:c>
      <x:c r="F37" s="15" t="n">
        <x:f>$C37*0</x:f>
        <x:v>0</x:v>
      </x:c>
      <x:c r="G37" s="15" t="n">
        <x:f>$C37*0</x:f>
        <x:v>0</x:v>
      </x:c>
      <x:c r="H37" s="15" t="n">
        <x:f>$C37*0</x:f>
        <x:v>0</x:v>
      </x:c>
      <x:c r="I37" s="15" t="n">
        <x:f>$C37*0</x:f>
        <x:v>0</x:v>
      </x:c>
      <x:c r="J37" s="15" t="n">
        <x:f>$C37*0</x:f>
        <x:v>0</x:v>
      </x:c>
      <x:c r="K37" s="15" t="n">
        <x:f>$C37*0</x:f>
        <x:v>0</x:v>
      </x:c>
      <x:c r="L37" s="15" t="n">
        <x:f>$C37*0</x:f>
        <x:v>0</x:v>
      </x:c>
      <x:c r="M37" s="15" t="n">
        <x:f>$C37*0</x:f>
        <x:v>0</x:v>
      </x:c>
      <x:c r="N37" s="15" t="n">
        <x:f>$C37*0</x:f>
        <x:v>0</x:v>
      </x:c>
      <x:c r="O37" s="15" t="n">
        <x:f>$C37*0</x:f>
        <x:v>0</x:v>
      </x:c>
      <x:c r="P37" s="15" t="n">
        <x:f>$C37*0</x:f>
        <x:v>0</x:v>
      </x:c>
      <x:c r="Q37" s="15" t="n">
        <x:f>$C37*0</x:f>
        <x:v>0</x:v>
      </x:c>
      <x:c r="R37" s="15" t="n">
        <x:f>$C37*0</x:f>
        <x:v>0</x:v>
      </x:c>
      <x:c r="S37" s="15" t="n">
        <x:f>$C37*0</x:f>
        <x:v>0</x:v>
      </x:c>
      <x:c r="T37" s="15" t="n">
        <x:f>$C37*0</x:f>
        <x:v>0</x:v>
      </x:c>
      <x:c r="U37" s="15" t="n">
        <x:f>$C37*0</x:f>
        <x:v>0</x:v>
      </x:c>
      <x:c r="V37" s="15" t="n">
        <x:f>$C37*0</x:f>
        <x:v>0</x:v>
      </x:c>
      <x:c r="W37" s="15" t="n">
        <x:f>$C37*0</x:f>
        <x:v>0</x:v>
      </x:c>
      <x:c r="X37" s="15" t="n">
        <x:f>$C37*0</x:f>
        <x:v>0</x:v>
      </x:c>
      <x:c r="Y37" s="15" t="n">
        <x:f>$C37*0</x:f>
        <x:v>0</x:v>
      </x:c>
      <x:c r="Z37" s="15" t="n">
        <x:f>$C37*0</x:f>
        <x:v>0</x:v>
      </x:c>
      <x:c r="AA37" s="15" t="n">
        <x:f>$C37*0</x:f>
        <x:v>0</x:v>
      </x:c>
      <x:c r="AB37" s="15" t="n">
        <x:f>$C37*0</x:f>
        <x:v>0</x:v>
      </x:c>
      <x:c r="AC37" s="15" t="n">
        <x:f>$C37*0</x:f>
        <x:v>0</x:v>
      </x:c>
      <x:c r="AD37" s="15" t="n">
        <x:f>$C37*0</x:f>
        <x:v>0</x:v>
      </x:c>
      <x:c r="AE37" s="15" t="n">
        <x:f>$C37*0</x:f>
        <x:v>0</x:v>
      </x:c>
      <x:c r="AF37" s="15" t="n">
        <x:f>$C37*0.9666666666666686</x:f>
        <x:v>773333.3333333349</x:v>
      </x:c>
      <x:c r="AG37" s="15" t="n">
        <x:f>$C37*0.03333333333333144</x:f>
        <x:v>26666.66666666515</x:v>
      </x:c>
      <x:c r="AH37" s="15" t="n">
        <x:f>$C37*0</x:f>
        <x:v>0</x:v>
      </x:c>
      <x:c r="AI37" s="15" t="n">
        <x:f>0</x:f>
        <x:v>0</x:v>
      </x:c>
    </x:row>
    <x:row r="38" ht="40" customHeight="1">
      <x:c r="A38" s="9" t="str">
        <x:v>6.3</x:v>
      </x:c>
      <x:c r="B38" s="9" t="str">
        <x:v>WP</x:v>
      </x:c>
      <x:c r="C38" s="15" t="n">
        <x:f>'Estimates'!I38</x:f>
        <x:v>960000</x:v>
      </x:c>
      <x:c r="D38" s="15" t="n">
        <x:f>$C38*0</x:f>
        <x:v>0</x:v>
      </x:c>
      <x:c r="E38" s="15" t="n">
        <x:f>$C38*0</x:f>
        <x:v>0</x:v>
      </x:c>
      <x:c r="F38" s="15" t="n">
        <x:f>$C38*0</x:f>
        <x:v>0</x:v>
      </x:c>
      <x:c r="G38" s="15" t="n">
        <x:f>$C38*0</x:f>
        <x:v>0</x:v>
      </x:c>
      <x:c r="H38" s="15" t="n">
        <x:f>$C38*0</x:f>
        <x:v>0</x:v>
      </x:c>
      <x:c r="I38" s="15" t="n">
        <x:f>$C38*0</x:f>
        <x:v>0</x:v>
      </x:c>
      <x:c r="J38" s="15" t="n">
        <x:f>$C38*0</x:f>
        <x:v>0</x:v>
      </x:c>
      <x:c r="K38" s="15" t="n">
        <x:f>$C38*0</x:f>
        <x:v>0</x:v>
      </x:c>
      <x:c r="L38" s="15" t="n">
        <x:f>$C38*0</x:f>
        <x:v>0</x:v>
      </x:c>
      <x:c r="M38" s="15" t="n">
        <x:f>$C38*0</x:f>
        <x:v>0</x:v>
      </x:c>
      <x:c r="N38" s="15" t="n">
        <x:f>$C38*0</x:f>
        <x:v>0</x:v>
      </x:c>
      <x:c r="O38" s="15" t="n">
        <x:f>$C38*0</x:f>
        <x:v>0</x:v>
      </x:c>
      <x:c r="P38" s="15" t="n">
        <x:f>$C38*0</x:f>
        <x:v>0</x:v>
      </x:c>
      <x:c r="Q38" s="15" t="n">
        <x:f>$C38*0</x:f>
        <x:v>0</x:v>
      </x:c>
      <x:c r="R38" s="15" t="n">
        <x:f>$C38*0</x:f>
        <x:v>0</x:v>
      </x:c>
      <x:c r="S38" s="15" t="n">
        <x:f>$C38*0</x:f>
        <x:v>0</x:v>
      </x:c>
      <x:c r="T38" s="15" t="n">
        <x:f>$C38*0</x:f>
        <x:v>0</x:v>
      </x:c>
      <x:c r="U38" s="15" t="n">
        <x:f>$C38*0</x:f>
        <x:v>0</x:v>
      </x:c>
      <x:c r="V38" s="15" t="n">
        <x:f>$C38*0</x:f>
        <x:v>0</x:v>
      </x:c>
      <x:c r="W38" s="15" t="n">
        <x:f>$C38*0</x:f>
        <x:v>0</x:v>
      </x:c>
      <x:c r="X38" s="15" t="n">
        <x:f>$C38*0</x:f>
        <x:v>0</x:v>
      </x:c>
      <x:c r="Y38" s="15" t="n">
        <x:f>$C38*0</x:f>
        <x:v>0</x:v>
      </x:c>
      <x:c r="Z38" s="15" t="n">
        <x:f>$C38*0</x:f>
        <x:v>0</x:v>
      </x:c>
      <x:c r="AA38" s="15" t="n">
        <x:f>$C38*0</x:f>
        <x:v>0</x:v>
      </x:c>
      <x:c r="AB38" s="15" t="n">
        <x:f>$C38*0</x:f>
        <x:v>0</x:v>
      </x:c>
      <x:c r="AC38" s="15" t="n">
        <x:f>$C38*0</x:f>
        <x:v>0</x:v>
      </x:c>
      <x:c r="AD38" s="15" t="n">
        <x:f>$C38*0</x:f>
        <x:v>0</x:v>
      </x:c>
      <x:c r="AE38" s="15" t="n">
        <x:f>$C38*0</x:f>
        <x:v>0</x:v>
      </x:c>
      <x:c r="AF38" s="15" t="n">
        <x:f>$C38*0</x:f>
        <x:v>0</x:v>
      </x:c>
      <x:c r="AG38" s="15" t="n">
        <x:f>$C38*0.8055555555555571</x:f>
        <x:v>773333.3333333349</x:v>
      </x:c>
      <x:c r="AH38" s="15" t="n">
        <x:f>$C38*0.19444444444444287</x:f>
        <x:v>186666.66666666514</x:v>
      </x:c>
      <x:c r="AI38" s="15" t="n">
        <x:f>0</x:f>
        <x:v>0</x:v>
      </x:c>
    </x:row>
    <x:row r="39" ht="40" customHeight="1">
      <x:c r="A39" s="9" t="str">
        <x:v>6.4</x:v>
      </x:c>
      <x:c r="B39" s="9" t="str">
        <x:v>PP</x:v>
      </x:c>
      <x:c r="C39" s="15" t="n">
        <x:f>'Estimates'!I39</x:f>
        <x:v>640000</x:v>
      </x:c>
      <x:c r="D39" s="15" t="n">
        <x:f>0</x:f>
        <x:v>0</x:v>
      </x:c>
      <x:c r="E39" s="15" t="n">
        <x:f>0</x:f>
        <x:v>0</x:v>
      </x:c>
      <x:c r="F39" s="15" t="n">
        <x:f>0</x:f>
        <x:v>0</x:v>
      </x:c>
      <x:c r="G39" s="15" t="n">
        <x:f>0</x:f>
        <x:v>0</x:v>
      </x:c>
      <x:c r="H39" s="15" t="n">
        <x:f>0</x:f>
        <x:v>0</x:v>
      </x:c>
      <x:c r="I39" s="15" t="n">
        <x:f>0</x:f>
        <x:v>0</x:v>
      </x:c>
      <x:c r="J39" s="15" t="n">
        <x:f>0</x:f>
        <x:v>0</x:v>
      </x:c>
      <x:c r="K39" s="15" t="n">
        <x:f>0</x:f>
        <x:v>0</x:v>
      </x:c>
      <x:c r="L39" s="15" t="n">
        <x:f>0</x:f>
        <x:v>0</x:v>
      </x:c>
      <x:c r="M39" s="15" t="n">
        <x:f>0</x:f>
        <x:v>0</x:v>
      </x:c>
      <x:c r="N39" s="15" t="n">
        <x:f>0</x:f>
        <x:v>0</x:v>
      </x:c>
      <x:c r="O39" s="15" t="n">
        <x:f>0</x:f>
        <x:v>0</x:v>
      </x:c>
      <x:c r="P39" s="15" t="n">
        <x:f>0</x:f>
        <x:v>0</x:v>
      </x:c>
      <x:c r="Q39" s="15" t="n">
        <x:f>0</x:f>
        <x:v>0</x:v>
      </x:c>
      <x:c r="R39" s="15" t="n">
        <x:f>0</x:f>
        <x:v>0</x:v>
      </x:c>
      <x:c r="S39" s="15" t="n">
        <x:f>0</x:f>
        <x:v>0</x:v>
      </x:c>
      <x:c r="T39" s="15" t="n">
        <x:f>0</x:f>
        <x:v>0</x:v>
      </x:c>
      <x:c r="U39" s="15" t="n">
        <x:f>0</x:f>
        <x:v>0</x:v>
      </x:c>
      <x:c r="V39" s="15" t="n">
        <x:f>0</x:f>
        <x:v>0</x:v>
      </x:c>
      <x:c r="W39" s="15" t="n">
        <x:f>0</x:f>
        <x:v>0</x:v>
      </x:c>
      <x:c r="X39" s="15" t="n">
        <x:f>0</x:f>
        <x:v>0</x:v>
      </x:c>
      <x:c r="Y39" s="15" t="n">
        <x:f>0</x:f>
        <x:v>0</x:v>
      </x:c>
      <x:c r="Z39" s="15" t="n">
        <x:f>0</x:f>
        <x:v>0</x:v>
      </x:c>
      <x:c r="AA39" s="15" t="n">
        <x:f>0</x:f>
        <x:v>0</x:v>
      </x:c>
      <x:c r="AB39" s="15" t="n">
        <x:f>0</x:f>
        <x:v>0</x:v>
      </x:c>
      <x:c r="AC39" s="15" t="n">
        <x:f>0</x:f>
        <x:v>0</x:v>
      </x:c>
      <x:c r="AD39" s="15" t="n">
        <x:f>0</x:f>
        <x:v>0</x:v>
      </x:c>
      <x:c r="AE39" s="15" t="n">
        <x:f>0</x:f>
        <x:v>0</x:v>
      </x:c>
      <x:c r="AF39" s="15" t="n">
        <x:f>0</x:f>
        <x:v>0</x:v>
      </x:c>
      <x:c r="AG39" s="15" t="n">
        <x:f>0</x:f>
        <x:v>0</x:v>
      </x:c>
      <x:c r="AH39" s="15" t="n">
        <x:f>0</x:f>
        <x:v>0</x:v>
      </x:c>
      <x:c r="AI39" s="15" t="n">
        <x:f>C39</x:f>
        <x:v>640000</x:v>
      </x:c>
    </x:row>
    <x:row r="40"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</x:row>
    <x:row r="41"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  <x:c r="AA41" s="19"/>
      <x:c r="AB41" s="19"/>
      <x:c r="AC41" s="19"/>
      <x:c r="AD41" s="19"/>
      <x:c r="AE41" s="19"/>
      <x:c r="AF41" s="19"/>
      <x:c r="AG41" s="19"/>
      <x:c r="AH41" s="19"/>
      <x:c r="AI41" s="19"/>
    </x:row>
    <x:row r="42">
      <x:c r="A42" t="str">
        <x:v>Tổng kỳ</x:v>
      </x:c>
      <x:c r="C42" s="19" t="n">
        <x:f>SUM(C8:C39)</x:f>
        <x:v>47920000</x:v>
      </x:c>
      <x:c r="D42" s="19" t="n">
        <x:f>SUM(D8:D39)</x:f>
        <x:v>800000</x:v>
      </x:c>
      <x:c r="E42" s="19" t="n">
        <x:f>SUM(E8:E39)</x:f>
        <x:v>800000</x:v>
      </x:c>
      <x:c r="F42" s="19" t="n">
        <x:f>SUM(F8:F39)</x:f>
        <x:v>800000</x:v>
      </x:c>
      <x:c r="G42" s="19" t="n">
        <x:f>SUM(G8:G39)</x:f>
        <x:v>800000</x:v>
      </x:c>
      <x:c r="H42" s="19" t="n">
        <x:f>SUM(H8:H39)</x:f>
        <x:v>800000</x:v>
      </x:c>
      <x:c r="I42" s="19" t="n">
        <x:f>SUM(I8:I39)</x:f>
        <x:v>800000</x:v>
      </x:c>
      <x:c r="J42" s="19" t="n">
        <x:f>SUM(J8:J39)</x:f>
        <x:v>800000</x:v>
      </x:c>
      <x:c r="K42" s="19" t="n">
        <x:f>SUM(K8:K39)</x:f>
        <x:v>800000</x:v>
      </x:c>
      <x:c r="L42" s="19" t="n">
        <x:f>SUM(L8:L39)</x:f>
        <x:v>800000</x:v>
      </x:c>
      <x:c r="M42" s="19" t="n">
        <x:f>SUM(M8:M39)</x:f>
        <x:v>800000.0000000001</x:v>
      </x:c>
      <x:c r="N42" s="19" t="n">
        <x:f>SUM(N8:N39)</x:f>
        <x:v>800000</x:v>
      </x:c>
      <x:c r="O42" s="19" t="n">
        <x:f>SUM(O8:O39)</x:f>
        <x:v>800000</x:v>
      </x:c>
      <x:c r="P42" s="19" t="n">
        <x:f>SUM(P8:P39)</x:f>
        <x:v>800000.0000000001</x:v>
      </x:c>
      <x:c r="Q42" s="19" t="n">
        <x:f>SUM(Q8:Q39)</x:f>
        <x:v>800000</x:v>
      </x:c>
      <x:c r="R42" s="19" t="n">
        <x:f>SUM(R8:R39)</x:f>
        <x:v>800000</x:v>
      </x:c>
      <x:c r="S42" s="19" t="n">
        <x:f>SUM(S8:S39)</x:f>
        <x:v>1093333.333333335</x:v>
      </x:c>
      <x:c r="T42" s="19" t="n">
        <x:f>SUM(T8:T39)</x:f>
        <x:v>1146666.666666665</x:v>
      </x:c>
      <x:c r="U42" s="19" t="n">
        <x:f>SUM(U8:U39)</x:f>
        <x:v>800000</x:v>
      </x:c>
      <x:c r="V42" s="19" t="n">
        <x:f>SUM(V8:V39)</x:f>
        <x:v>800000</x:v>
      </x:c>
      <x:c r="W42" s="19" t="n">
        <x:f>SUM(W8:W39)</x:f>
        <x:v>1386666.6666666698</x:v>
      </x:c>
      <x:c r="X42" s="19" t="n">
        <x:f>SUM(X8:X39)</x:f>
        <x:v>2400000</x:v>
      </x:c>
      <x:c r="Y42" s="19" t="n">
        <x:f>SUM(Y8:Y39)</x:f>
        <x:v>2400000</x:v>
      </x:c>
      <x:c r="Z42" s="19" t="n">
        <x:f>SUM(Z8:Z39)</x:f>
        <x:v>2400000</x:v>
      </x:c>
      <x:c r="AA42" s="19" t="n">
        <x:f>SUM(AA8:AA39)</x:f>
        <x:v>1786666.6666666653</x:v>
      </x:c>
      <x:c r="AB42" s="19" t="n">
        <x:f>SUM(AB8:AB39)</x:f>
        <x:v>1600000</x:v>
      </x:c>
      <x:c r="AC42" s="19" t="n">
        <x:f>SUM(AC8:AC39)</x:f>
        <x:v>1600000</x:v>
      </x:c>
      <x:c r="AD42" s="19" t="n">
        <x:f>SUM(AD8:AD39)</x:f>
        <x:v>1600000</x:v>
      </x:c>
      <x:c r="AE42" s="19" t="n">
        <x:f>SUM(AE8:AE39)</x:f>
        <x:v>1359999.9999999953</x:v>
      </x:c>
      <x:c r="AF42" s="19" t="n">
        <x:f>SUM(AF8:AF39)</x:f>
        <x:v>800000</x:v>
      </x:c>
      <x:c r="AG42" s="19" t="n">
        <x:f>SUM(AG8:AG39)</x:f>
        <x:v>800000</x:v>
      </x:c>
      <x:c r="AH42" s="19" t="n">
        <x:f>SUM(AH8:AH39)</x:f>
        <x:v>186666.66666666514</x:v>
      </x:c>
      <x:c r="AI42" s="19" t="n">
        <x:f>SUM(AI8:AI39)</x:f>
        <x:v>13760000.000000002</x:v>
      </x:c>
    </x:row>
    <x:row r="43">
      <x:c r="A43" t="str">
        <x:v>Lũy kế WP</x:v>
      </x:c>
      <x:c r="C43" s="19"/>
      <x:c r="D43" s="19" t="n">
        <x:f>SUM($D42:D42)</x:f>
        <x:v>800000</x:v>
      </x:c>
      <x:c r="E43" s="19" t="n">
        <x:f>SUM($D42:E42)</x:f>
        <x:v>1600000</x:v>
      </x:c>
      <x:c r="F43" s="19" t="n">
        <x:f>SUM($D42:F42)</x:f>
        <x:v>2400000</x:v>
      </x:c>
      <x:c r="G43" s="19" t="n">
        <x:f>SUM($D42:G42)</x:f>
        <x:v>3200000</x:v>
      </x:c>
      <x:c r="H43" s="19" t="n">
        <x:f>SUM($D42:H42)</x:f>
        <x:v>4000000</x:v>
      </x:c>
      <x:c r="I43" s="19" t="n">
        <x:f>SUM($D42:I42)</x:f>
        <x:v>4800000</x:v>
      </x:c>
      <x:c r="J43" s="19" t="n">
        <x:f>SUM($D42:J42)</x:f>
        <x:v>5600000</x:v>
      </x:c>
      <x:c r="K43" s="19" t="n">
        <x:f>SUM($D42:K42)</x:f>
        <x:v>6400000</x:v>
      </x:c>
      <x:c r="L43" s="19" t="n">
        <x:f>SUM($D42:L42)</x:f>
        <x:v>7200000</x:v>
      </x:c>
      <x:c r="M43" s="19" t="n">
        <x:f>SUM($D42:M42)</x:f>
        <x:v>8000000</x:v>
      </x:c>
      <x:c r="N43" s="19" t="n">
        <x:f>SUM($D42:N42)</x:f>
        <x:v>8800000</x:v>
      </x:c>
      <x:c r="O43" s="19" t="n">
        <x:f>SUM($D42:O42)</x:f>
        <x:v>9600000</x:v>
      </x:c>
      <x:c r="P43" s="19" t="n">
        <x:f>SUM($D42:P42)</x:f>
        <x:v>10400000</x:v>
      </x:c>
      <x:c r="Q43" s="19" t="n">
        <x:f>SUM($D42:Q42)</x:f>
        <x:v>11200000</x:v>
      </x:c>
      <x:c r="R43" s="19" t="n">
        <x:f>SUM($D42:R42)</x:f>
        <x:v>12000000</x:v>
      </x:c>
      <x:c r="S43" s="19" t="n">
        <x:f>SUM($D42:S42)</x:f>
        <x:v>13093333.333333336</x:v>
      </x:c>
      <x:c r="T43" s="19" t="n">
        <x:f>SUM($D42:T42)</x:f>
        <x:v>14240000</x:v>
      </x:c>
      <x:c r="U43" s="19" t="n">
        <x:f>SUM($D42:U42)</x:f>
        <x:v>15040000</x:v>
      </x:c>
      <x:c r="V43" s="19" t="n">
        <x:f>SUM($D42:V42)</x:f>
        <x:v>15840000</x:v>
      </x:c>
      <x:c r="W43" s="19" t="n">
        <x:f>SUM($D42:W42)</x:f>
        <x:v>17226666.66666667</x:v>
      </x:c>
      <x:c r="X43" s="19" t="n">
        <x:f>SUM($D42:X42)</x:f>
        <x:v>19626666.66666667</x:v>
      </x:c>
      <x:c r="Y43" s="19" t="n">
        <x:f>SUM($D42:Y42)</x:f>
        <x:v>22026666.66666667</x:v>
      </x:c>
      <x:c r="Z43" s="19" t="n">
        <x:f>SUM($D42:Z42)</x:f>
        <x:v>24426666.66666667</x:v>
      </x:c>
      <x:c r="AA43" s="19" t="n">
        <x:f>SUM($D42:AA42)</x:f>
        <x:v>26213333.333333336</x:v>
      </x:c>
      <x:c r="AB43" s="19" t="n">
        <x:f>SUM($D42:AB42)</x:f>
        <x:v>27813333.333333336</x:v>
      </x:c>
      <x:c r="AC43" s="19" t="n">
        <x:f>SUM($D42:AC42)</x:f>
        <x:v>29413333.333333336</x:v>
      </x:c>
      <x:c r="AD43" s="19" t="n">
        <x:f>SUM($D42:AD42)</x:f>
        <x:v>31013333.333333336</x:v>
      </x:c>
      <x:c r="AE43" s="19" t="n">
        <x:f>SUM($D42:AE42)</x:f>
        <x:v>32373333.333333332</x:v>
      </x:c>
      <x:c r="AF43" s="19" t="n">
        <x:f>SUM($D42:AF42)</x:f>
        <x:v>33173333.333333332</x:v>
      </x:c>
      <x:c r="AG43" s="19" t="n">
        <x:f>SUM($D42:AG42)</x:f>
        <x:v>33973333.33333333</x:v>
      </x:c>
      <x:c r="AH43" s="19" t="n">
        <x:f>SUM($D42:AH42)</x:f>
        <x:v>34159999.99999999</x:v>
      </x:c>
      <x:c r="AI43" s="19"/>
    </x:row>
    <x:row r="44">
      <x:c r="A44" t="str">
        <x:v>Đối chiếu phân kỳ</x:v>
      </x:c>
      <x:c r="C44" s="19" t="n">
        <x:f>C42-SUM(D42:AI42)</x:f>
        <x:v>7.450580596923828e-9</x:v>
      </x:c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</x:row>
    <x:row r="48">
      <x:c r="A48" t="str">
        <x:v>Tuần</x:v>
      </x:c>
      <x:c r="B48" t="str">
        <x:v>Lũy kế chi phí cơ hội WP</x:v>
      </x:c>
    </x:row>
    <x:row r="49">
      <x:c r="A49" t="str">
        <x:v>Tuần 1</x:v>
      </x:c>
      <x:c r="B49" s="20" t="n">
        <x:f>D43</x:f>
        <x:v>800000</x:v>
      </x:c>
    </x:row>
    <x:row r="50">
      <x:c r="A50" t="str">
        <x:v>Tuần 2</x:v>
      </x:c>
      <x:c r="B50" s="20" t="n">
        <x:f>E43</x:f>
        <x:v>1600000</x:v>
      </x:c>
    </x:row>
    <x:row r="51">
      <x:c r="A51" t="str">
        <x:v>Tuần 3</x:v>
      </x:c>
      <x:c r="B51" s="20" t="n">
        <x:f>F43</x:f>
        <x:v>2400000</x:v>
      </x:c>
    </x:row>
    <x:row r="52">
      <x:c r="A52" t="str">
        <x:v>Tuần 4</x:v>
      </x:c>
      <x:c r="B52" s="20" t="n">
        <x:f>G43</x:f>
        <x:v>3200000</x:v>
      </x:c>
    </x:row>
    <x:row r="53">
      <x:c r="A53" t="str">
        <x:v>Tuần 5</x:v>
      </x:c>
      <x:c r="B53" s="20" t="n">
        <x:f>H43</x:f>
        <x:v>4000000</x:v>
      </x:c>
    </x:row>
    <x:row r="54">
      <x:c r="A54" t="str">
        <x:v>Tuần 6</x:v>
      </x:c>
      <x:c r="B54" s="20" t="n">
        <x:f>I43</x:f>
        <x:v>4800000</x:v>
      </x:c>
    </x:row>
    <x:row r="55">
      <x:c r="A55" t="str">
        <x:v>Tuần 7</x:v>
      </x:c>
      <x:c r="B55" s="20" t="n">
        <x:f>J43</x:f>
        <x:v>5600000</x:v>
      </x:c>
    </x:row>
    <x:row r="56">
      <x:c r="A56" t="str">
        <x:v>Tuần 8</x:v>
      </x:c>
      <x:c r="B56" s="20" t="n">
        <x:f>K43</x:f>
        <x:v>6400000</x:v>
      </x:c>
    </x:row>
    <x:row r="57">
      <x:c r="A57" t="str">
        <x:v>Tuần 9</x:v>
      </x:c>
      <x:c r="B57" s="20" t="n">
        <x:f>L43</x:f>
        <x:v>7200000</x:v>
      </x:c>
    </x:row>
    <x:row r="58">
      <x:c r="A58" t="str">
        <x:v>Tuần 10</x:v>
      </x:c>
      <x:c r="B58" s="20" t="n">
        <x:f>M43</x:f>
        <x:v>8000000</x:v>
      </x:c>
    </x:row>
    <x:row r="59">
      <x:c r="A59" t="str">
        <x:v>Tuần 11</x:v>
      </x:c>
      <x:c r="B59" s="20" t="n">
        <x:f>N43</x:f>
        <x:v>8800000</x:v>
      </x:c>
    </x:row>
    <x:row r="60">
      <x:c r="A60" t="str">
        <x:v>Tuần 12</x:v>
      </x:c>
      <x:c r="B60" s="20" t="n">
        <x:f>O43</x:f>
        <x:v>9600000</x:v>
      </x:c>
    </x:row>
    <x:row r="61">
      <x:c r="A61" t="str">
        <x:v>Tuần 13</x:v>
      </x:c>
      <x:c r="B61" s="20" t="n">
        <x:f>P43</x:f>
        <x:v>10400000</x:v>
      </x:c>
    </x:row>
    <x:row r="62">
      <x:c r="A62" t="str">
        <x:v>Tuần 14</x:v>
      </x:c>
      <x:c r="B62" s="20" t="n">
        <x:f>Q43</x:f>
        <x:v>11200000</x:v>
      </x:c>
    </x:row>
    <x:row r="63">
      <x:c r="A63" t="str">
        <x:v>Tuần 15</x:v>
      </x:c>
      <x:c r="B63" s="20" t="n">
        <x:f>R43</x:f>
        <x:v>12000000</x:v>
      </x:c>
    </x:row>
    <x:row r="64">
      <x:c r="A64" t="str">
        <x:v>Tuần 16</x:v>
      </x:c>
      <x:c r="B64" s="20" t="n">
        <x:f>S43</x:f>
        <x:v>13093333.333333336</x:v>
      </x:c>
    </x:row>
    <x:row r="65">
      <x:c r="A65" t="str">
        <x:v>Tuần 17</x:v>
      </x:c>
      <x:c r="B65" s="20" t="n">
        <x:f>T43</x:f>
        <x:v>14240000</x:v>
      </x:c>
    </x:row>
    <x:row r="66">
      <x:c r="A66" t="str">
        <x:v>Tuần 18</x:v>
      </x:c>
      <x:c r="B66" s="20" t="n">
        <x:f>U43</x:f>
        <x:v>15040000</x:v>
      </x:c>
    </x:row>
    <x:row r="67">
      <x:c r="A67" t="str">
        <x:v>Tuần 19</x:v>
      </x:c>
      <x:c r="B67" s="20" t="n">
        <x:f>V43</x:f>
        <x:v>15840000</x:v>
      </x:c>
    </x:row>
    <x:row r="68">
      <x:c r="A68" t="str">
        <x:v>Tuần 20</x:v>
      </x:c>
      <x:c r="B68" s="20" t="n">
        <x:f>W43</x:f>
        <x:v>17226666.66666667</x:v>
      </x:c>
    </x:row>
    <x:row r="69">
      <x:c r="A69" t="str">
        <x:v>Tuần 21</x:v>
      </x:c>
      <x:c r="B69" s="20" t="n">
        <x:f>X43</x:f>
        <x:v>19626666.66666667</x:v>
      </x:c>
    </x:row>
    <x:row r="70">
      <x:c r="A70" t="str">
        <x:v>Tuần 22</x:v>
      </x:c>
      <x:c r="B70" s="20" t="n">
        <x:f>Y43</x:f>
        <x:v>22026666.66666667</x:v>
      </x:c>
    </x:row>
    <x:row r="71">
      <x:c r="A71" t="str">
        <x:v>Tuần 23</x:v>
      </x:c>
      <x:c r="B71" s="20" t="n">
        <x:f>Z43</x:f>
        <x:v>24426666.66666667</x:v>
      </x:c>
    </x:row>
    <x:row r="72">
      <x:c r="A72" t="str">
        <x:v>Tuần 24</x:v>
      </x:c>
      <x:c r="B72" s="20" t="n">
        <x:f>AA43</x:f>
        <x:v>26213333.333333336</x:v>
      </x:c>
    </x:row>
    <x:row r="73">
      <x:c r="A73" t="str">
        <x:v>Tuần 25</x:v>
      </x:c>
      <x:c r="B73" s="20" t="n">
        <x:f>AB43</x:f>
        <x:v>27813333.333333336</x:v>
      </x:c>
    </x:row>
    <x:row r="74">
      <x:c r="A74" t="str">
        <x:v>Tuần 26</x:v>
      </x:c>
      <x:c r="B74" s="20" t="n">
        <x:f>AC43</x:f>
        <x:v>29413333.333333336</x:v>
      </x:c>
    </x:row>
    <x:row r="75">
      <x:c r="A75" t="str">
        <x:v>Tuần 27</x:v>
      </x:c>
      <x:c r="B75" s="20" t="n">
        <x:f>AD43</x:f>
        <x:v>31013333.333333336</x:v>
      </x:c>
    </x:row>
    <x:row r="76">
      <x:c r="A76" t="str">
        <x:v>Tuần 28</x:v>
      </x:c>
      <x:c r="B76" s="20" t="n">
        <x:f>AE43</x:f>
        <x:v>32373333.333333332</x:v>
      </x:c>
    </x:row>
    <x:row r="77">
      <x:c r="A77" t="str">
        <x:v>Tuần 29</x:v>
      </x:c>
      <x:c r="B77" s="20" t="n">
        <x:f>AF43</x:f>
        <x:v>33173333.333333332</x:v>
      </x:c>
    </x:row>
    <x:row r="78">
      <x:c r="A78" t="str">
        <x:v>Tuần 30</x:v>
      </x:c>
      <x:c r="B78" s="20" t="n">
        <x:f>AG43</x:f>
        <x:v>33973333.33333333</x:v>
      </x:c>
    </x:row>
    <x:row r="79">
      <x:c r="A79" t="str">
        <x:v>Tuần 31</x:v>
      </x:c>
      <x:c r="B79" s="20" t="n">
        <x:f>AH43</x:f>
        <x:v>34159999.99999999</x:v>
      </x:c>
    </x:row>
  </x:sheetData>
  <x:conditionalFormatting sqref="C44:C44">
    <x:cfRule type="expression" dxfId="1" priority="1">
      <x:formula>ABS(C44)&gt;0.01</x:formula>
    </x:cfRule>
  </x:conditionalFormatting>
  <x:pageMargins left="0.7" right="0.7" top="0.75" bottom="0.75" header="0.3" footer="0.3"/>
  <x:drawing xmlns:r="http://schemas.openxmlformats.org/officeDocument/2006/relationships" r:id="Ra387a699c8474775"/>
</x:worksheet>
</file>

<file path=xl/worksheets/sheet4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52" hidden="0" customWidth="1"/>
    <x:col min="3" max="3" width="26" hidden="0" customWidth="1"/>
    <x:col min="4" max="4" width="34" hidden="0" customWidth="1"/>
    <x:col min="5" max="5" width="25" hidden="0" customWidth="1"/>
    <x:col min="6" max="6" width="25" hidden="0" customWidth="1"/>
    <x:col min="7" max="7" width="6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P11 — Tiền mặt và nguồn cấp</x:v>
      </x:c>
      <x:c r="B2" s="2"/>
      <x:c r="C2" s="2"/>
      <x:c r="D2" s="2"/>
      <x:c r="E2" s="2"/>
      <x:c r="F2" s="2"/>
      <x:c r="G2" s="2"/>
    </x:row>
    <x:row r="3">
      <x:c r="A3" s="2" t="str">
        <x:v>Dự thảo 24/09/2026. Thiếu xác nhận độc lập hoặc nghiệm thu sản phẩm.</x:v>
      </x:c>
      <x:c r="B3" s="2"/>
      <x:c r="C3" s="2"/>
      <x:c r="D3" s="2"/>
      <x:c r="E3" s="2"/>
      <x:c r="F3" s="2"/>
      <x:c r="G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40" customHeight="1">
      <x:c r="A7" s="8" t="str">
        <x:v>Mã</x:v>
      </x:c>
      <x:c r="B7" s="8" t="str">
        <x:v>Khoản / nguồn</x:v>
      </x:c>
      <x:c r="C7" s="8" t="str">
        <x:v>Kế hoạch VND</x:v>
      </x:c>
      <x:c r="D7" s="8" t="str">
        <x:v>Thời điểm</x:v>
      </x:c>
      <x:c r="E7" s="8" t="str">
        <x:v>Chủ</x:v>
      </x:c>
      <x:c r="F7" s="8" t="str">
        <x:v>Đã chi VND</x:v>
      </x:c>
      <x:c r="G7" s="8" t="str">
        <x:v>Căn cứ</x:v>
      </x:c>
    </x:row>
    <x:row r="8" ht="75" customHeight="1">
      <x:c r="A8" s="9" t="str">
        <x:v>CASH-01</x:v>
      </x:c>
      <x:c r="B8" s="9" t="str">
        <x:v>Phí cổng thanh toán</x:v>
      </x:c>
      <x:c r="C8" s="15" t="n">
        <x:v>1500000</x:v>
      </x:c>
      <x:c r="D8" s="15" t="str">
        <x:v>M6</x:v>
      </x:c>
      <x:c r="E8" s="15" t="str">
        <x:v>Việt Quang</x:v>
      </x:c>
      <x:c r="F8" s="13" t="str"/>
      <x:c r="G8" s="9" t="str">
        <x:v>Hạn mức kế hoạch theo Charter; chưa có chứng từ</x:v>
      </x:c>
    </x:row>
    <x:row r="9" ht="75" customHeight="1">
      <x:c r="A9" s="9" t="str">
        <x:v>CASH-02</x:v>
      </x:c>
      <x:c r="B9" s="9" t="str">
        <x:v>Tài sản đồ họa</x:v>
      </x:c>
      <x:c r="C9" s="15" t="n">
        <x:v>700000</x:v>
      </x:c>
      <x:c r="D9" s="15" t="str">
        <x:v>M3</x:v>
      </x:c>
      <x:c r="E9" s="15" t="str">
        <x:v>Quang Anh</x:v>
      </x:c>
      <x:c r="F9" s="13" t="str"/>
      <x:c r="G9" s="9" t="str">
        <x:v>Hạn mức kế hoạch theo Charter; chưa có chứng từ</x:v>
      </x:c>
    </x:row>
    <x:row r="10" ht="75" customHeight="1">
      <x:c r="A10" s="9" t="str">
        <x:v>CASH-03</x:v>
      </x:c>
      <x:c r="B10" s="9" t="str">
        <x:v>VPS</x:v>
      </x:c>
      <x:c r="C10" s="15" t="n">
        <x:v>600000</x:v>
      </x:c>
      <x:c r="D10" s="15" t="str">
        <x:v>M6</x:v>
      </x:c>
      <x:c r="E10" s="15" t="str">
        <x:v>Quang Anh</x:v>
      </x:c>
      <x:c r="F10" s="13" t="str"/>
      <x:c r="G10" s="9" t="str">
        <x:v>Hạn mức kế hoạch theo Charter; chưa có chứng từ</x:v>
      </x:c>
    </x:row>
    <x:row r="11" ht="75" customHeight="1">
      <x:c r="A11" s="9" t="str">
        <x:v>CASH-04</x:v>
      </x:c>
      <x:c r="B11" s="9" t="str">
        <x:v>Tên miền</x:v>
      </x:c>
      <x:c r="C11" s="15" t="n">
        <x:v>300000</x:v>
      </x:c>
      <x:c r="D11" s="15" t="str">
        <x:v>M6</x:v>
      </x:c>
      <x:c r="E11" s="15" t="str">
        <x:v>Quang Anh</x:v>
      </x:c>
      <x:c r="F11" s="13" t="str"/>
      <x:c r="G11" s="9" t="str">
        <x:v>Hạn mức kế hoạch theo Charter; chưa có chứng từ</x:v>
      </x:c>
    </x:row>
    <x:row r="12" ht="75" customHeight="1">
      <x:c r="A12" s="9" t="str">
        <x:v>CASH-R</x:v>
      </x:c>
      <x:c r="B12" s="9" t="str">
        <x:v>Dự phòng tiền mặt</x:v>
      </x:c>
      <x:c r="C12" s="15" t="n">
        <x:v>400000</x:v>
      </x:c>
      <x:c r="D12" s="15" t="str">
        <x:v>Khi được duyệt sử dụng</x:v>
      </x:c>
      <x:c r="E12" s="15" t="str">
        <x:v>Chiến</x:v>
      </x:c>
      <x:c r="F12" s="13" t="str"/>
      <x:c r="G12" s="9" t="str">
        <x:v>Đã nằm trong trần 3.500.000 VND</x:v>
      </x:c>
    </x:row>
    <x:row r="13">
      <x:c r="C13" s="19"/>
      <x:c r="D13" s="19"/>
      <x:c r="E13" s="19"/>
      <x:c r="F13" s="19"/>
    </x:row>
    <x:row r="14">
      <x:c r="C14" s="19"/>
      <x:c r="D14" s="19"/>
      <x:c r="E14" s="19"/>
      <x:c r="F14" s="19"/>
    </x:row>
    <x:row r="15">
      <x:c r="B15" t="str">
        <x:v>Tổng ngân sách tiền mặt</x:v>
      </x:c>
      <x:c r="C15" s="19" t="n">
        <x:f>SUM(C8:C12)</x:f>
        <x:v>3500000</x:v>
      </x:c>
      <x:c r="D15" s="19"/>
      <x:c r="E15" s="19"/>
      <x:c r="F15" s="19"/>
    </x:row>
    <x:row r="16">
      <x:c r="B16" t="str">
        <x:v>Trần tiền mặt Charter</x:v>
      </x:c>
      <x:c r="C16" s="19" t="n">
        <x:v>3500000</x:v>
      </x:c>
      <x:c r="D16" s="19"/>
      <x:c r="E16" s="19"/>
      <x:c r="F16" s="19"/>
    </x:row>
    <x:row r="17">
      <x:c r="B17" t="str">
        <x:v>Chưa phân bổ / vượt trần</x:v>
      </x:c>
      <x:c r="C17" s="19" t="n">
        <x:f>C16-C15</x:f>
        <x:v>0</x:v>
      </x:c>
      <x:c r="D17" s="19"/>
      <x:c r="E17" s="19"/>
      <x:c r="F17" s="19"/>
    </x:row>
    <x:row r="19">
      <x:c r="B19" t="str">
        <x:v>Nguồn cấp</x:v>
      </x:c>
      <x:c r="C19" t="str">
        <x:v>Nhóm dự án theo Charter; chưa có xác nhận đã nhận tiền.</x:v>
      </x:c>
    </x:row>
  </x:sheetData>
  <x:conditionalFormatting sqref="C17:C17">
    <x:cfRule type="expression" dxfId="2" priority="1">
      <x:formula>C17&lt;0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5" hidden="0" customWidth="1"/>
    <x:col min="2" max="2" width="60" hidden="0" customWidth="1"/>
    <x:col min="3" max="3" width="23" hidden="0" customWidth="1"/>
    <x:col min="4" max="4" width="30" hidden="0" customWidth="1"/>
    <x:col min="5" max="5" width="25" hidden="0" customWidth="1"/>
    <x:col min="6" max="6" width="70" hidden="0" customWidth="1"/>
    <x:col min="7" max="7" width="43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P11 — Kế hoạch mua và thuê</x:v>
      </x:c>
      <x:c r="B2" s="2"/>
      <x:c r="C2" s="2"/>
      <x:c r="D2" s="2"/>
      <x:c r="E2" s="2"/>
      <x:c r="F2" s="2"/>
      <x:c r="G2" s="2"/>
    </x:row>
    <x:row r="3">
      <x:c r="A3" s="2" t="str">
        <x:v>Dự thảo 24/09/2026. Thiếu xác nhận độc lập hoặc nghiệm thu sản phẩm.</x:v>
      </x:c>
      <x:c r="B3" s="2"/>
      <x:c r="C3" s="2"/>
      <x:c r="D3" s="2"/>
      <x:c r="E3" s="2"/>
      <x:c r="F3" s="2"/>
      <x:c r="G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2"/>
      <x:c r="B6" s="2"/>
      <x:c r="C6" s="2"/>
      <x:c r="D6" s="2"/>
      <x:c r="E6" s="2"/>
      <x:c r="F6" s="2"/>
      <x:c r="G6" s="2"/>
    </x:row>
    <x:row r="7" ht="40" customHeight="1">
      <x:c r="A7" s="8" t="str">
        <x:v>Khoản</x:v>
      </x:c>
      <x:c r="B7" s="8" t="str">
        <x:v>Lý do</x:v>
      </x:c>
      <x:c r="C7" s="8" t="str">
        <x:v>Chủ</x:v>
      </x:c>
      <x:c r="D7" s="8" t="str">
        <x:v>Hạn / kỳ</x:v>
      </x:c>
      <x:c r="E7" s="8" t="str">
        <x:v>Hạn mức VND</x:v>
      </x:c>
      <x:c r="F7" s="8" t="str">
        <x:v>Tiêu chí lựa chọn / nhận</x:v>
      </x:c>
      <x:c r="G7" s="8" t="str">
        <x:v>Trạng thái</x:v>
      </x:c>
    </x:row>
    <x:row r="8" ht="95" customHeight="1">
      <x:c r="A8" s="9" t="str">
        <x:v>Phí cổng thanh toán</x:v>
      </x:c>
      <x:c r="B8" s="9" t="str">
        <x:v>Phục vụ phạm vi tương ứng trong dự toán tiền mặt</x:v>
      </x:c>
      <x:c r="C8" s="9" t="str">
        <x:v>Việt Quang</x:v>
      </x:c>
      <x:c r="D8" s="9" t="str">
        <x:v>M6</x:v>
      </x:c>
      <x:c r="E8" s="18" t="n">
        <x:v>1500000</x:v>
      </x:c>
      <x:c r="F8" s="9" t="str">
        <x:v>Đủ cấu hình/yêu cầu; giá không vượt phân bổ; có bằng chứng giao nhận</x:v>
      </x:c>
      <x:c r="G8" s="9" t="str">
        <x:v>Kế hoạch; chưa đặt mua/thuê</x:v>
      </x:c>
    </x:row>
    <x:row r="9" ht="95" customHeight="1">
      <x:c r="A9" s="9" t="str">
        <x:v>Tài sản đồ họa</x:v>
      </x:c>
      <x:c r="B9" s="9" t="str">
        <x:v>Phục vụ phạm vi tương ứng trong dự toán tiền mặt</x:v>
      </x:c>
      <x:c r="C9" s="9" t="str">
        <x:v>Quang Anh</x:v>
      </x:c>
      <x:c r="D9" s="9" t="str">
        <x:v>M3</x:v>
      </x:c>
      <x:c r="E9" s="18" t="n">
        <x:v>700000</x:v>
      </x:c>
      <x:c r="F9" s="9" t="str">
        <x:v>Đủ cấu hình/yêu cầu; giá không vượt phân bổ; có bằng chứng giao nhận</x:v>
      </x:c>
      <x:c r="G9" s="9" t="str">
        <x:v>Kế hoạch; chưa đặt mua/thuê</x:v>
      </x:c>
    </x:row>
    <x:row r="10" ht="95" customHeight="1">
      <x:c r="A10" s="9" t="str">
        <x:v>VPS</x:v>
      </x:c>
      <x:c r="B10" s="9" t="str">
        <x:v>Phục vụ phạm vi tương ứng trong dự toán tiền mặt</x:v>
      </x:c>
      <x:c r="C10" s="9" t="str">
        <x:v>Quang Anh</x:v>
      </x:c>
      <x:c r="D10" s="9" t="str">
        <x:v>M6</x:v>
      </x:c>
      <x:c r="E10" s="18" t="n">
        <x:v>600000</x:v>
      </x:c>
      <x:c r="F10" s="9" t="str">
        <x:v>Đủ cấu hình/yêu cầu; giá không vượt phân bổ; có bằng chứng giao nhận</x:v>
      </x:c>
      <x:c r="G10" s="9" t="str">
        <x:v>Kế hoạch; chưa đặt mua/thuê</x:v>
      </x:c>
    </x:row>
    <x:row r="11" ht="95" customHeight="1">
      <x:c r="A11" s="9" t="str">
        <x:v>Tên miền</x:v>
      </x:c>
      <x:c r="B11" s="9" t="str">
        <x:v>Phục vụ phạm vi tương ứng trong dự toán tiền mặt</x:v>
      </x:c>
      <x:c r="C11" s="9" t="str">
        <x:v>Quang Anh</x:v>
      </x:c>
      <x:c r="D11" s="9" t="str">
        <x:v>M6</x:v>
      </x:c>
      <x:c r="E11" s="18" t="n">
        <x:v>300000</x:v>
      </x:c>
      <x:c r="F11" s="9" t="str">
        <x:v>Đủ cấu hình/yêu cầu; giá không vượt phân bổ; có bằng chứng giao nhận</x:v>
      </x:c>
      <x:c r="G11" s="9" t="str">
        <x:v>Kế hoạch; chưa đặt mua/thuê</x:v>
      </x:c>
    </x:row>
  </x:sheetData>
  <x:pageMargins left="0.7" right="0.7" top="0.75" bottom="0.75" header="0.3" footer="0.3"/>
</x:worksheet>
</file>