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2cd3f5c14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lestones" sheetId="1" r:id="Rc3d96fe790174d60"/>
    <x:sheet xmlns:r="http://schemas.openxmlformats.org/officeDocument/2006/relationships" name="Activities" sheetId="2" r:id="Re8aa13ef76ea4a74"/>
    <x:sheet xmlns:r="http://schemas.openxmlformats.org/officeDocument/2006/relationships" name="Estimates" sheetId="3" r:id="R3dfc3199735840c8"/>
    <x:sheet xmlns:r="http://schemas.openxmlformats.org/officeDocument/2006/relationships" name="CPM" sheetId="4" r:id="Rabffc52adb0f437e"/>
    <x:sheet xmlns:r="http://schemas.openxmlformats.org/officeDocument/2006/relationships" name="Gantt" sheetId="5" r:id="R253923b78be144c4"/>
    <x:sheet xmlns:r="http://schemas.openxmlformats.org/officeDocument/2006/relationships" name="Calendar" sheetId="6" r:id="R1178fdb6d86a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;(#,##0.00);&quot;–&quot;"/>
    <x:numFmt numFmtId="202" formatCode="0.00"/>
  </x:numFmts>
  <x:fonts count="6">
    <x:font>
      <x:sz val="11"/>
      <x:name val="Carlito"/>
    </x:font>
    <x:font>
      <x:sz val="10"/>
      <x:color rgb="FF172B45"/>
      <x:name val="Arial"/>
    </x:font>
    <x:font>
      <x:b/>
      <x:sz val="14"/>
      <x:color rgb="FF203B5E"/>
      <x:name val="Arial"/>
    </x:font>
    <x:font>
      <x:sz val="10"/>
      <x:color rgb="FF0000FF"/>
      <x:name val="Arial"/>
    </x:font>
    <x:font>
      <x:i/>
      <x:sz val="10"/>
      <x:color rgb="FF5261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D5"/>
      </x:patternFill>
    </x:fill>
    <x:fill>
      <x:patternFill patternType="solid">
        <x:fgColor rgb="FF203B5E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1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  <x:dxfs count="94"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00ed3608f412e" /><Relationship Type="http://schemas.openxmlformats.org/officeDocument/2006/relationships/theme" Target="/xl/theme/theme1.xml" Id="R8734066404194b49" /><Relationship Type="http://schemas.openxmlformats.org/officeDocument/2006/relationships/sharedStrings" Target="/xl/sharedStrings.xml" Id="R9b75509cf0ec4cbe" /><Relationship Type="http://schemas.openxmlformats.org/officeDocument/2006/relationships/worksheet" Target="/xl/worksheets/sheet1.xml" Id="Rc3d96fe790174d60" /><Relationship Type="http://schemas.openxmlformats.org/officeDocument/2006/relationships/worksheet" Target="/xl/worksheets/sheet2.xml" Id="Re8aa13ef76ea4a74" /><Relationship Type="http://schemas.openxmlformats.org/officeDocument/2006/relationships/worksheet" Target="/xl/worksheets/sheet3.xml" Id="R3dfc3199735840c8" /><Relationship Type="http://schemas.openxmlformats.org/officeDocument/2006/relationships/worksheet" Target="/xl/worksheets/sheet4.xml" Id="Rabffc52adb0f437e" /><Relationship Type="http://schemas.openxmlformats.org/officeDocument/2006/relationships/worksheet" Target="/xl/worksheets/sheet5.xml" Id="R253923b78be144c4" /><Relationship Type="http://schemas.openxmlformats.org/officeDocument/2006/relationships/worksheet" Target="/xl/worksheets/sheet6.xml" Id="R1178fdb6d86a42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45" hidden="0" customWidth="1"/>
    <x:col min="3" max="3" width="21" hidden="0" customWidth="1"/>
    <x:col min="4" max="4" width="27" hidden="0" customWidth="1"/>
    <x:col min="5" max="5" width="44" hidden="0" customWidth="1"/>
    <x:col min="6" max="6" width="55" hidden="0" customWidth="1"/>
  </x:cols>
  <x:sheetData>
    <x:row r="1">
      <x:c r="A1" s="14"/>
      <x:c r="B1" s="14"/>
      <x:c r="C1" s="14"/>
      <x:c r="D1" s="14"/>
      <x:c r="E1" s="14"/>
      <x:c r="F1" s="14"/>
    </x:row>
    <x:row r="2">
      <x:c r="A2" s="15" t="str">
        <x:v>P10 — Mốc dự án và mốc hồ sơ</x:v>
      </x:c>
      <x:c r="B2" s="14"/>
      <x:c r="C2" s="14"/>
      <x:c r="D2" s="14"/>
      <x:c r="E2" s="14"/>
      <x:c r="F2" s="14"/>
    </x:row>
    <x:row r="3">
      <x:c r="A3" s="14" t="str">
        <x:v>Dự thảo 24/09/2026. Thiếu xác nhận độc lập hoặc nghiệm thu sản phẩm.</x:v>
      </x:c>
      <x:c r="B3" s="14"/>
      <x:c r="C3" s="14"/>
      <x:c r="D3" s="14"/>
      <x:c r="E3" s="14"/>
      <x:c r="F3" s="14"/>
    </x:row>
    <x:row r="4">
      <x:c r="A4" s="16" t="str">
        <x:v>Nguồn: A_01/A_02, B_01/B_02, C_01/C_02 và bộ quyết định thống nhất ngày 24/09/2026.</x:v>
      </x:c>
      <x:c r="B4" s="14"/>
      <x:c r="C4" s="14"/>
      <x:c r="D4" s="14"/>
      <x:c r="E4" s="14"/>
      <x:c r="F4" s="14"/>
    </x:row>
    <x:row r="5">
      <x:c r="A5" s="14"/>
      <x:c r="B5" s="14"/>
      <x:c r="C5" s="14"/>
      <x:c r="D5" s="14"/>
      <x:c r="E5" s="14"/>
      <x:c r="F5" s="14"/>
    </x:row>
    <x:row r="6">
      <x:c r="A6" s="14"/>
      <x:c r="B6" s="14"/>
      <x:c r="C6" s="14"/>
      <x:c r="D6" s="14"/>
      <x:c r="E6" s="14"/>
      <x:c r="F6" s="14"/>
    </x:row>
    <x:row r="7" ht="40" customHeight="1">
      <x:c r="A7" s="20" t="str">
        <x:v>Mã</x:v>
      </x:c>
      <x:c r="B7" s="20" t="str">
        <x:v>Mốc / gói</x:v>
      </x:c>
      <x:c r="C7" s="20" t="str">
        <x:v>Ngày tham chiếu</x:v>
      </x:c>
      <x:c r="D7" s="20" t="str">
        <x:v>Loại</x:v>
      </x:c>
      <x:c r="E7" s="20" t="str">
        <x:v>Trạng thái / điều kiện</x:v>
      </x:c>
      <x:c r="F7" s="20" t="str">
        <x:v>Nguồn / giới hạn</x:v>
      </x:c>
    </x:row>
    <x:row r="8" ht="75" customHeight="1">
      <x:c r="A8" s="6" t="str">
        <x:v>DOC-01</x:v>
      </x:c>
      <x:c r="B8" s="6" t="str">
        <x:v>Đầu vào module</x:v>
      </x:c>
      <x:c r="C8" s="7" t="n">
        <x:v>46291</x:v>
      </x:c>
      <x:c r="D8" s="6" t="str">
        <x:v>Cổng hồ sơ</x:v>
      </x:c>
      <x:c r="E8" s="6" t="str">
        <x:v>Chưa có bằng chứng đạt</x:v>
      </x:c>
      <x:c r="F8" s="6" t="str">
        <x:v>DEC-008; mục tiêu nội bộ không phải hạn giảng viên</x:v>
      </x:c>
    </x:row>
    <x:row r="9" ht="75" customHeight="1">
      <x:c r="A9" s="6" t="str">
        <x:v>DOC-02</x:v>
      </x:c>
      <x:c r="B9" s="6" t="str">
        <x:v>Planning ghép</x:v>
      </x:c>
      <x:c r="C9" s="7" t="n">
        <x:v>46294</x:v>
      </x:c>
      <x:c r="D9" s="6" t="str">
        <x:v>Cổng hồ sơ</x:v>
      </x:c>
      <x:c r="E9" s="6" t="str">
        <x:v>Chưa có bằng chứng đạt</x:v>
      </x:c>
      <x:c r="F9" s="6" t="str">
        <x:v>DEC-008; mục tiêu nội bộ không phải hạn giảng viên</x:v>
      </x:c>
    </x:row>
    <x:row r="10" ht="75" customHeight="1">
      <x:c r="A10" s="6" t="str">
        <x:v>DOC-03</x:v>
      </x:c>
      <x:c r="B10" s="6" t="str">
        <x:v>Bằng chứng/kiểm soát</x:v>
      </x:c>
      <x:c r="C10" s="7" t="n">
        <x:v>46297</x:v>
      </x:c>
      <x:c r="D10" s="6" t="str">
        <x:v>Cổng hồ sơ</x:v>
      </x:c>
      <x:c r="E10" s="6" t="str">
        <x:v>Chưa có bằng chứng đạt</x:v>
      </x:c>
      <x:c r="F10" s="6" t="str">
        <x:v>DEC-008; mục tiêu nội bộ không phải hạn giảng viên</x:v>
      </x:c>
    </x:row>
    <x:row r="11" ht="75" customHeight="1">
      <x:c r="A11" s="6" t="str">
        <x:v>DOC-04</x:v>
      </x:c>
      <x:c r="B11" s="6" t="str">
        <x:v>Bàn giao dự thảo</x:v>
      </x:c>
      <x:c r="C11" s="7" t="n">
        <x:v>46300</x:v>
      </x:c>
      <x:c r="D11" s="6" t="str">
        <x:v>Cổng hồ sơ</x:v>
      </x:c>
      <x:c r="E11" s="6" t="str">
        <x:v>Chưa có bằng chứng đạt</x:v>
      </x:c>
      <x:c r="F11" s="6" t="str">
        <x:v>DEC-008; mục tiêu nội bộ không phải hạn giảng viên</x:v>
      </x:c>
    </x:row>
    <x:row r="12" ht="75" customHeight="1">
      <x:c r="A12" s="6" t="str">
        <x:v>DOC-05</x:v>
      </x:c>
      <x:c r="B12" s="6" t="str">
        <x:v>Review hồ sơ</x:v>
      </x:c>
      <x:c r="C12" s="7" t="n">
        <x:v>46302</x:v>
      </x:c>
      <x:c r="D12" s="6" t="str">
        <x:v>Cổng hồ sơ</x:v>
      </x:c>
      <x:c r="E12" s="6" t="str">
        <x:v>Chưa có bằng chứng đạt</x:v>
      </x:c>
      <x:c r="F12" s="6" t="str">
        <x:v>DEC-008; mục tiêu nội bộ không phải hạn giảng viên</x:v>
      </x:c>
    </x:row>
    <x:row r="13" ht="75" customHeight="1">
      <x:c r="A13" s="6" t="str">
        <x:v>M0</x:v>
      </x:c>
      <x:c r="B13" s="6" t="str">
        <x:v>Khởi động và phê duyệt Charter</x:v>
      </x:c>
      <x:c r="C13" s="7" t="n">
        <x:v>46264</x:v>
      </x:c>
      <x:c r="D13" s="6" t="str">
        <x:v>Mốc Charter đối chiếu</x:v>
      </x:c>
      <x:c r="E13" s="6" t="str">
        <x:v>Chưa xác minh đạt: Nhà tài trợ ký Charter; 3 thành viên xác nhận cam kết thời gian bằng văn bản</x:v>
      </x:c>
      <x:c r="F13" s="6" t="str">
        <x:v>Project Charter v2.1 §7; không ghi đè theo forecast</x:v>
      </x:c>
    </x:row>
    <x:row r="14" ht="75" customHeight="1">
      <x:c r="A14" s="6" t="str">
        <x:v>M1</x:v>
      </x:c>
      <x:c r="B14" s="6" t="str">
        <x:v>Đặc tả yêu cầu và định dạng dữ liệu cảnh</x:v>
      </x:c>
      <x:c r="C14" s="7" t="n">
        <x:v>46278</x:v>
      </x:c>
      <x:c r="D14" s="6" t="str">
        <x:v>Mốc Charter đối chiếu</x:v>
      </x:c>
      <x:c r="E14" s="6" t="str">
        <x:v>Chưa xác minh đạt: Định dạng dữ liệu được chốt; đã đo hiện trạng thời gian tạo video</x:v>
      </x:c>
      <x:c r="F14" s="6" t="str">
        <x:v>Project Charter v2.1 §7; không ghi đè theo forecast</x:v>
      </x:c>
    </x:row>
    <x:row r="15" ht="75" customHeight="1">
      <x:c r="A15" s="6" t="str">
        <x:v>M2</x:v>
      </x:c>
      <x:c r="B15" s="6" t="str">
        <x:v>Thiết kế kiến trúc, thư viện mẫu, nguyên mẫu</x:v>
      </x:c>
      <x:c r="C15" s="7" t="n">
        <x:v>46292</x:v>
      </x:c>
      <x:c r="D15" s="6" t="str">
        <x:v>Mốc Charter đối chiếu</x:v>
      </x:c>
      <x:c r="E15" s="6" t="str">
        <x:v>Chưa xác minh đạt: Nguyên mẫu chứng minh bộ nhớ không tăng theo độ dài; từ 5 mẫu được duyệt; hồ sơ cổng thanh toán đã nộp</x:v>
      </x:c>
      <x:c r="F15" s="6" t="str">
        <x:v>Project Charter v2.1 §7; không ghi đè theo forecast</x:v>
      </x:c>
    </x:row>
    <x:row r="16" ht="75" customHeight="1">
      <x:c r="A16" s="6" t="str">
        <x:v>M3</x:v>
      </x:c>
      <x:c r="B16" s="6" t="str">
        <x:v>Bộ dựng, xem trước, bộ ghi file</x:v>
      </x:c>
      <x:c r="C16" s="7" t="n">
        <x:v>46313</x:v>
      </x:c>
      <x:c r="D16" s="6" t="str">
        <x:v>Mốc Charter đối chiếu</x:v>
      </x:c>
      <x:c r="E16" s="6" t="str">
        <x:v>Chưa xác minh đạt: OB-04 và OB-07 đạt; xem trước chạy đúng khung hình</x:v>
      </x:c>
      <x:c r="F16" s="6" t="str">
        <x:v>Project Charter v2.1 §7; không ghi đè theo forecast</x:v>
      </x:c>
    </x:row>
    <x:row r="17" ht="75" customHeight="1">
      <x:c r="A17" s="6" t="str">
        <x:v>M4</x:v>
      </x:c>
      <x:c r="B17" s="6" t="str">
        <x:v>Xuất MP4 theo luồng</x:v>
      </x:c>
      <x:c r="C17" s="7" t="n">
        <x:v>46327</x:v>
      </x:c>
      <x:c r="D17" s="6" t="str">
        <x:v>Mốc Charter đối chiếu</x:v>
      </x:c>
      <x:c r="E17" s="6" t="str">
        <x:v>Chưa xác minh đạt: OB-01, OB-02, OB-03, OB-09 đạt</x:v>
      </x:c>
      <x:c r="F17" s="6" t="str">
        <x:v>Project Charter v2.1 §7; không ghi đè theo forecast</x:v>
      </x:c>
    </x:row>
    <x:row r="18" ht="75" customHeight="1">
      <x:c r="A18" s="6" t="str">
        <x:v>M5</x:v>
      </x:c>
      <x:c r="B18" s="6" t="str">
        <x:v>Trình soạn thảo, lưu và mở, giấy phép và hạn mức</x:v>
      </x:c>
      <x:c r="C18" s="7" t="n">
        <x:v>46341</x:v>
      </x:c>
      <x:c r="D18" s="6" t="str">
        <x:v>Mốc Charter đối chiếu</x:v>
      </x:c>
      <x:c r="E18" s="6" t="str">
        <x:v>Chưa xác minh đạt: RQ-07 đến RQ-09 hoạt động đầy đủ; OB-13 và OB-14 đạt</x:v>
      </x:c>
      <x:c r="F18" s="6" t="str">
        <x:v>Project Charter v2.1 §7; không ghi đè theo forecast</x:v>
      </x:c>
    </x:row>
    <x:row r="19" ht="75" customHeight="1">
      <x:c r="A19" s="6" t="str">
        <x:v>M6</x:v>
      </x:c>
      <x:c r="B19" s="6" t="str">
        <x:v>Thanh toán, quản lý thuê bao, kiểm thử, tài liệu</x:v>
      </x:c>
      <x:c r="C19" s="7" t="n">
        <x:v>46355</x:v>
      </x:c>
      <x:c r="D19" s="6" t="str">
        <x:v>Mốc Charter đối chiếu</x:v>
      </x:c>
      <x:c r="E19" s="6" t="str">
        <x:v>Chưa xác minh đạt: OB-06, OB-08, OB-12, OB-15 đạt; quy trình khôi phục máy chủ đã diễn tập</x:v>
      </x:c>
      <x:c r="F19" s="6" t="str">
        <x:v>Project Charter v2.1 §7; không ghi đè theo forecast</x:v>
      </x:c>
    </x:row>
    <x:row r="20" ht="75" customHeight="1">
      <x:c r="A20" s="6" t="str">
        <x:v>M7</x:v>
      </x:c>
      <x:c r="B20" s="6" t="str">
        <x:v>Nghiệm thu và bàn giao v1.0</x:v>
      </x:c>
      <x:c r="C20" s="7" t="n">
        <x:v>46362</x:v>
      </x:c>
      <x:c r="D20" s="6" t="str">
        <x:v>Mốc Charter đối chiếu</x:v>
      </x:c>
      <x:c r="E20" s="6" t="str">
        <x:v>Chưa xác minh đạt: Biên bản nghiệm thu được ký; bắt đầu đo OB-16</x:v>
      </x:c>
      <x:c r="F20" s="6" t="str">
        <x:v>Project Charter v2.1 §7; không ghi đè theo forecast</x:v>
      </x:c>
    </x:row>
    <x:row r="21" ht="75" customHeight="1">
      <x:c r="A21" s="6" t="str">
        <x:v>4.2.7</x:v>
      </x:c>
      <x:c r="B21" s="6" t="str">
        <x:v>Tạm dừng xuất và cảnh báo trình duyệt</x:v>
      </x:c>
      <x:c r="C21" s="7" t="str"/>
      <x:c r="D21" s="6" t="str">
        <x:v>Mốc phân rã PP</x:v>
      </x:c>
      <x:c r="E21" s="6" t="str">
        <x:v>M4</x:v>
      </x:c>
      <x:c r="F21" s="6" t="str">
        <x:v>Ước lượng có dự phòng; chưa có lịch chi tiết</x:v>
      </x:c>
    </x:row>
    <x:row r="22" ht="75" customHeight="1">
      <x:c r="A22" s="6" t="str">
        <x:v>4.3.5</x:v>
      </x:c>
      <x:c r="B22" s="6" t="str">
        <x:v>Hóa đơn Doanh nghiệp</x:v>
      </x:c>
      <x:c r="C22" s="7" t="str"/>
      <x:c r="D22" s="6" t="str">
        <x:v>Mốc phân rã PP</x:v>
      </x:c>
      <x:c r="E22" s="6" t="str">
        <x:v>M6</x:v>
      </x:c>
      <x:c r="F22" s="6" t="str">
        <x:v>Ước lượng có dự phòng; chưa có lịch chi tiết</x:v>
      </x:c>
    </x:row>
    <x:row r="23" ht="75" customHeight="1">
      <x:c r="A23" s="6" t="str">
        <x:v>4.3.6</x:v>
      </x:c>
      <x:c r="B23" s="6" t="str">
        <x:v>Quản lý 5 chỗ Doanh nghiệp</x:v>
      </x:c>
      <x:c r="C23" s="7" t="str"/>
      <x:c r="D23" s="6" t="str">
        <x:v>Mốc phân rã PP</x:v>
      </x:c>
      <x:c r="E23" s="6" t="str">
        <x:v>M6</x:v>
      </x:c>
      <x:c r="F23" s="6" t="str">
        <x:v>Ước lượng có dự phòng; chưa có lịch chi tiết</x:v>
      </x:c>
    </x:row>
    <x:row r="24" ht="75" customHeight="1">
      <x:c r="A24" s="6" t="str">
        <x:v>4.4.2</x:v>
      </x:c>
      <x:c r="B24" s="6" t="str">
        <x:v>Hồ sơ hỗ trợ và giao tiếp điều chỉnh hạn mức</x:v>
      </x:c>
      <x:c r="C24" s="7" t="str"/>
      <x:c r="D24" s="6" t="str">
        <x:v>Mốc phân rã PP</x:v>
      </x:c>
      <x:c r="E24" s="6" t="str">
        <x:v>M6</x:v>
      </x:c>
      <x:c r="F24" s="6" t="str">
        <x:v>Ước lượng có dự phòng; chưa có lịch chi tiết</x:v>
      </x:c>
    </x:row>
    <x:row r="25" ht="75" customHeight="1">
      <x:c r="A25" s="6" t="str">
        <x:v>4.4.4</x:v>
      </x:c>
      <x:c r="B25" s="6" t="str">
        <x:v>Giao diện quản trị</x:v>
      </x:c>
      <x:c r="C25" s="7" t="str"/>
      <x:c r="D25" s="6" t="str">
        <x:v>Mốc phân rã PP</x:v>
      </x:c>
      <x:c r="E25" s="6" t="str">
        <x:v>M6</x:v>
      </x:c>
      <x:c r="F25" s="6" t="str">
        <x:v>Ước lượng có dự phòng; chưa có lịch chi tiết</x:v>
      </x:c>
    </x:row>
    <x:row r="26" ht="75" customHeight="1">
      <x:c r="A26" s="6" t="str">
        <x:v>5.2</x:v>
      </x:c>
      <x:c r="B26" s="6" t="str">
        <x:v>Báo cáo hiệu năng và tính xác định</x:v>
      </x:c>
      <x:c r="C26" s="7" t="str"/>
      <x:c r="D26" s="6" t="str">
        <x:v>Mốc phân rã PP</x:v>
      </x:c>
      <x:c r="E26" s="6" t="str">
        <x:v>M4</x:v>
      </x:c>
      <x:c r="F26" s="6" t="str">
        <x:v>Ước lượng có dự phòng; chưa có lịch chi tiết</x:v>
      </x:c>
    </x:row>
    <x:row r="27" ht="75" customHeight="1">
      <x:c r="A27" s="6" t="str">
        <x:v>5.3</x:v>
      </x:c>
      <x:c r="B27" s="6" t="str">
        <x:v>Báo cáo độ tin cậy, tiếng Việt và dễ dùng</x:v>
      </x:c>
      <x:c r="C27" s="7" t="str"/>
      <x:c r="D27" s="6" t="str">
        <x:v>Mốc phân rã PP</x:v>
      </x:c>
      <x:c r="E27" s="6" t="str">
        <x:v>M6</x:v>
      </x:c>
      <x:c r="F27" s="6" t="str">
        <x:v>Ước lượng có dự phòng; chưa có lịch chi tiết</x:v>
      </x:c>
    </x:row>
    <x:row r="28" ht="75" customHeight="1">
      <x:c r="A28" s="6" t="str">
        <x:v>6.1</x:v>
      </x:c>
      <x:c r="B28" s="6" t="str">
        <x:v>Bản phát hành production</x:v>
      </x:c>
      <x:c r="C28" s="7" t="str"/>
      <x:c r="D28" s="6" t="str">
        <x:v>Mốc phân rã PP</x:v>
      </x:c>
      <x:c r="E28" s="6" t="str">
        <x:v>M6</x:v>
      </x:c>
      <x:c r="F28" s="6" t="str">
        <x:v>Ước lượng có dự phòng; chưa có lịch chi tiết</x:v>
      </x:c>
    </x:row>
    <x:row r="29" ht="75" customHeight="1">
      <x:c r="A29" s="6" t="str">
        <x:v>6.4</x:v>
      </x:c>
      <x:c r="B29" s="6" t="str">
        <x:v>Biên bản nghiệm thu sản phẩm</x:v>
      </x:c>
      <x:c r="C29" s="7" t="str"/>
      <x:c r="D29" s="6" t="str">
        <x:v>Mốc phân rã PP</x:v>
      </x:c>
      <x:c r="E29" s="6" t="str">
        <x:v>M7</x:v>
      </x:c>
      <x:c r="F29" s="6" t="str">
        <x:v>Ước lượng có dự phòng; chưa có lịch chi tiết</x:v>
      </x:c>
    </x:row>
    <x:row r="30" ht="75" customHeight="1">
      <x:c r="A30" s="6" t="str">
        <x:v>FC-WP</x:v>
      </x:c>
      <x:c r="B30" s="6" t="str">
        <x:v>Kết thúc WP theo san bằng</x:v>
      </x:c>
      <x:c r="C30" s="7" t="n">
        <x:f>MAX('Gantt'!D8:D42)</x:f>
        <x:v>46500</x:v>
      </x:c>
      <x:c r="D30" s="6" t="str">
        <x:v>Forecast WP</x:v>
      </x:c>
      <x:c r="E30" s="6" t="str">
        <x:v>Chưa phải baseline</x:v>
      </x:c>
      <x:c r="F30" s="6" t="str">
        <x:v>Không bao gồm PP chưa phân rã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53" hidden="0" customWidth="1"/>
    <x:col min="4" max="4" width="14" hidden="0" customWidth="1"/>
    <x:col min="5" max="5" width="18" hidden="0" customWidth="1"/>
    <x:col min="6" max="6" width="37" hidden="0" customWidth="1"/>
    <x:col min="7" max="7" width="13" hidden="0" customWidth="1"/>
    <x:col min="8" max="8" width="15" hidden="0" customWidth="1"/>
    <x:col min="9" max="9" width="29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</x:row>
    <x:row r="2">
      <x:c r="A2" s="15" t="str">
        <x:v>P10 — Hoạt động chi tiết WP</x:v>
      </x:c>
      <x:c r="B2" s="14"/>
      <x:c r="C2" s="14"/>
      <x:c r="D2" s="14"/>
      <x:c r="E2" s="14"/>
      <x:c r="F2" s="14"/>
      <x:c r="G2" s="14"/>
      <x:c r="H2" s="14"/>
      <x:c r="I2" s="14"/>
    </x:row>
    <x:row r="3">
      <x:c r="A3" s="14" t="str">
        <x:v>Dự thảo 24/09/2026. Thiếu xác nhận độc lập hoặc nghiệm thu sản phẩm.</x:v>
      </x:c>
      <x:c r="B3" s="14"/>
      <x:c r="C3" s="14"/>
      <x:c r="D3" s="14"/>
      <x:c r="E3" s="14"/>
      <x:c r="F3" s="14"/>
      <x:c r="G3" s="14"/>
      <x:c r="H3" s="14"/>
      <x:c r="I3" s="14"/>
    </x:row>
    <x:row r="4">
      <x:c r="A4" s="16" t="str">
        <x:v>Nguồn: A_01/A_02, B_01/B_02, C_01/C_02 và bộ quyết định thống nhất ngày 24/09/2026.</x:v>
      </x:c>
      <x:c r="B4" s="14"/>
      <x:c r="C4" s="14"/>
      <x:c r="D4" s="14"/>
      <x:c r="E4" s="14"/>
      <x:c r="F4" s="14"/>
      <x:c r="G4" s="14"/>
      <x:c r="H4" s="14"/>
      <x:c r="I4" s="14"/>
    </x:row>
    <x:row r="5">
      <x:c r="A5" s="14" t="str">
        <x:v>Mạng hiện hành dùng FS/lag0. Đổi tiền nhiệm phải cập nhật công thức CPM; đổi giờ công tự tính lại. PP chỉ có mốc phân rã, chưa có ACT.</x:v>
      </x:c>
      <x:c r="B5" s="14"/>
      <x:c r="C5" s="14"/>
      <x:c r="D5" s="14"/>
      <x:c r="E5" s="14"/>
      <x:c r="F5" s="14"/>
      <x:c r="G5" s="14"/>
      <x:c r="H5" s="14"/>
      <x:c r="I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</x:row>
    <x:row r="7" ht="40" customHeight="1">
      <x:c r="A7" s="20" t="str">
        <x:v>Mã hoạt động</x:v>
      </x:c>
      <x:c r="B7" s="20" t="str">
        <x:v>WBS</x:v>
      </x:c>
      <x:c r="C7" s="20" t="str">
        <x:v>Nội dung</x:v>
      </x:c>
      <x:c r="D7" s="20" t="str">
        <x:v>Giờ công</x:v>
      </x:c>
      <x:c r="E7" s="20" t="str">
        <x:v>Chủ</x:v>
      </x:c>
      <x:c r="F7" s="20" t="str">
        <x:v>Tiền nhiệm</x:v>
      </x:c>
      <x:c r="G7" s="20" t="str">
        <x:v>Quan hệ</x:v>
      </x:c>
      <x:c r="H7" s="20" t="str">
        <x:v>Lag (ngày)</x:v>
      </x:c>
      <x:c r="I7" s="20" t="str">
        <x:v>Trạng thái</x:v>
      </x:c>
    </x:row>
    <x:row r="8" ht="75" customHeight="1">
      <x:c r="A8" s="6" t="str">
        <x:v>ACT-1.1-01</x:v>
      </x:c>
      <x:c r="B8" s="6" t="str">
        <x:v>1.1</x:v>
      </x:c>
      <x:c r="C8" s="6" t="str">
        <x:v>Hoàn thiện và tự kiểm: Bộ hồ sơ khởi tạo</x:v>
      </x:c>
      <x:c r="D8" s="22" t="n">
        <x:v>23</x:v>
      </x:c>
      <x:c r="E8" s="6" t="str">
        <x:v>Chiến</x:v>
      </x:c>
      <x:c r="F8" s="6" t="str"/>
      <x:c r="G8" s="6" t="str">
        <x:v>FS</x:v>
      </x:c>
      <x:c r="H8" s="6" t="n">
        <x:v>0</x:v>
      </x:c>
      <x:c r="I8" s="6" t="str">
        <x:v>Kế hoạch; chưa ghi actual</x:v>
      </x:c>
    </x:row>
    <x:row r="9" ht="75" customHeight="1">
      <x:c r="A9" s="6" t="str">
        <x:v>ACT-2.1-01</x:v>
      </x:c>
      <x:c r="B9" s="6" t="str">
        <x:v>2.1</x:v>
      </x:c>
      <x:c r="C9" s="6" t="str">
        <x:v>Hoàn thiện và tự kiểm: Đặc tả yêu cầu phần mềm</x:v>
      </x:c>
      <x:c r="D9" s="22" t="n">
        <x:v>12</x:v>
      </x:c>
      <x:c r="E9" s="6" t="str">
        <x:v>Chiến</x:v>
      </x:c>
      <x:c r="F9" s="6" t="str">
        <x:v>ACT-1.1-01</x:v>
      </x:c>
      <x:c r="G9" s="6" t="str">
        <x:v>FS</x:v>
      </x:c>
      <x:c r="H9" s="6" t="n">
        <x:v>0</x:v>
      </x:c>
      <x:c r="I9" s="6" t="str">
        <x:v>Kế hoạch; chưa ghi actual</x:v>
      </x:c>
    </x:row>
    <x:row r="10" ht="75" customHeight="1">
      <x:c r="A10" s="6" t="str">
        <x:v>ACT-3.1-01</x:v>
      </x:c>
      <x:c r="B10" s="6" t="str">
        <x:v>3.1</x:v>
      </x:c>
      <x:c r="C10" s="6" t="str">
        <x:v>Hoàn thiện và tự kiểm: Kiến trúc và nguyên mẫu mã hóa</x:v>
      </x:c>
      <x:c r="D10" s="22" t="n">
        <x:v>10</x:v>
      </x:c>
      <x:c r="E10" s="6" t="str">
        <x:v>Chiến</x:v>
      </x:c>
      <x:c r="F10" s="6" t="str">
        <x:v>ACT-2.1-01</x:v>
      </x:c>
      <x:c r="G10" s="6" t="str">
        <x:v>FS</x:v>
      </x:c>
      <x:c r="H10" s="6" t="n">
        <x:v>0</x:v>
      </x:c>
      <x:c r="I10" s="6" t="str">
        <x:v>Kế hoạch; chưa ghi actual</x:v>
      </x:c>
    </x:row>
    <x:row r="11" ht="75" customHeight="1">
      <x:c r="A11" s="6" t="str">
        <x:v>ACT-3.2-01</x:v>
      </x:c>
      <x:c r="B11" s="6" t="str">
        <x:v>3.2</x:v>
      </x:c>
      <x:c r="C11" s="6" t="str">
        <x:v>Hoàn thiện và tự kiểm: Đặc tả giao tiếp và schema dự án</x:v>
      </x:c>
      <x:c r="D11" s="22" t="n">
        <x:v>23.333333333333332</x:v>
      </x:c>
      <x:c r="E11" s="6" t="str">
        <x:v>Chiến</x:v>
      </x:c>
      <x:c r="F11" s="6" t="str">
        <x:v>ACT-2.1-01</x:v>
      </x:c>
      <x:c r="G11" s="6" t="str">
        <x:v>FS</x:v>
      </x:c>
      <x:c r="H11" s="6" t="n">
        <x:v>0</x:v>
      </x:c>
      <x:c r="I11" s="6" t="str">
        <x:v>Kế hoạch; chưa ghi actual</x:v>
      </x:c>
    </x:row>
    <x:row r="12" ht="75" customHeight="1">
      <x:c r="A12" s="6" t="str">
        <x:v>ACT-4.2.3-01</x:v>
      </x:c>
      <x:c r="B12" s="6" t="str">
        <x:v>4.2.3</x:v>
      </x:c>
      <x:c r="C12" s="6" t="str">
        <x:v>Hoàn thiện và tự kiểm: Bộ dựng và xem trước</x:v>
      </x:c>
      <x:c r="D12" s="22" t="n">
        <x:v>24.666666666666668</x:v>
      </x:c>
      <x:c r="E12" s="6" t="str">
        <x:v>Chiến</x:v>
      </x:c>
      <x:c r="F12" s="6" t="str">
        <x:v>ACT-3.2-01</x:v>
      </x:c>
      <x:c r="G12" s="6" t="str">
        <x:v>FS</x:v>
      </x:c>
      <x:c r="H12" s="6" t="n">
        <x:v>0</x:v>
      </x:c>
      <x:c r="I12" s="6" t="str">
        <x:v>Kế hoạch; chưa ghi actual</x:v>
      </x:c>
    </x:row>
    <x:row r="13" ht="75" customHeight="1">
      <x:c r="A13" s="6" t="str">
        <x:v>ACT-4.2.2-01</x:v>
      </x:c>
      <x:c r="B13" s="6" t="str">
        <x:v>4.2.2</x:v>
      </x:c>
      <x:c r="C13" s="6" t="str">
        <x:v>Hoàn thiện và tự kiểm: Thư viện năm mẫu trình chiếu</x:v>
      </x:c>
      <x:c r="D13" s="22" t="n">
        <x:v>13.333333333333334</x:v>
      </x:c>
      <x:c r="E13" s="6" t="str">
        <x:v>Chiến</x:v>
      </x:c>
      <x:c r="F13" s="6" t="str">
        <x:v>ACT-4.2.3-01</x:v>
      </x:c>
      <x:c r="G13" s="6" t="str">
        <x:v>FS</x:v>
      </x:c>
      <x:c r="H13" s="6" t="n">
        <x:v>0</x:v>
      </x:c>
      <x:c r="I13" s="6" t="str">
        <x:v>Kế hoạch; chưa ghi actual</x:v>
      </x:c>
    </x:row>
    <x:row r="14" ht="75" customHeight="1">
      <x:c r="A14" s="6" t="str">
        <x:v>ACT-4.2.4-01</x:v>
      </x:c>
      <x:c r="B14" s="6" t="str">
        <x:v>4.2.4</x:v>
      </x:c>
      <x:c r="C14" s="6" t="str">
        <x:v>Hoàn thiện và tự kiểm: Bộ xuất MP4 theo luồng</x:v>
      </x:c>
      <x:c r="D14" s="22" t="n">
        <x:v>22</x:v>
      </x:c>
      <x:c r="E14" s="6" t="str">
        <x:v>Chiến</x:v>
      </x:c>
      <x:c r="F14" s="6" t="str">
        <x:v>ACT-3.1-01
ACT-4.2.3-01</x:v>
      </x:c>
      <x:c r="G14" s="6" t="str">
        <x:v>FS</x:v>
      </x:c>
      <x:c r="H14" s="6" t="n">
        <x:v>0</x:v>
      </x:c>
      <x:c r="I14" s="6" t="str">
        <x:v>Kế hoạch; chưa ghi actual</x:v>
      </x:c>
    </x:row>
    <x:row r="15" ht="75" customHeight="1">
      <x:c r="A15" s="6" t="str">
        <x:v>ACT-1.2-01</x:v>
      </x:c>
      <x:c r="B15" s="6" t="str">
        <x:v>1.2</x:v>
      </x:c>
      <x:c r="C15" s="6" t="str">
        <x:v>Hoàn thiện và tự kiểm: Kế hoạch quản lý dự án</x:v>
      </x:c>
      <x:c r="D15" s="22" t="n">
        <x:v>28</x:v>
      </x:c>
      <x:c r="E15" s="6" t="str">
        <x:v>Chiến</x:v>
      </x:c>
      <x:c r="F15" s="6" t="str">
        <x:v>ACT-2.1-01
ACT-3.2-01</x:v>
      </x:c>
      <x:c r="G15" s="6" t="str">
        <x:v>FS</x:v>
      </x:c>
      <x:c r="H15" s="6" t="n">
        <x:v>0</x:v>
      </x:c>
      <x:c r="I15" s="6" t="str">
        <x:v>Kế hoạch; chưa ghi actual</x:v>
      </x:c>
    </x:row>
    <x:row r="16" ht="75" customHeight="1">
      <x:c r="A16" s="6" t="str">
        <x:v>ACT-1.3-01</x:v>
      </x:c>
      <x:c r="B16" s="6" t="str">
        <x:v>1.3</x:v>
      </x:c>
      <x:c r="C16" s="6" t="str">
        <x:v>Hoàn thiện và tự kiểm: Báo cáo theo dõi và kiểm soát</x:v>
      </x:c>
      <x:c r="D16" s="22" t="n">
        <x:v>16</x:v>
      </x:c>
      <x:c r="E16" s="6" t="str">
        <x:v>Việt Quang</x:v>
      </x:c>
      <x:c r="F16" s="6" t="str">
        <x:v>ACT-1.2-01</x:v>
      </x:c>
      <x:c r="G16" s="6" t="str">
        <x:v>FS</x:v>
      </x:c>
      <x:c r="H16" s="6" t="n">
        <x:v>0</x:v>
      </x:c>
      <x:c r="I16" s="6" t="str">
        <x:v>Kế hoạch; chưa ghi actual</x:v>
      </x:c>
    </x:row>
    <x:row r="17" ht="75" customHeight="1">
      <x:c r="A17" s="6" t="str">
        <x:v>ACT-2.2-01</x:v>
      </x:c>
      <x:c r="B17" s="6" t="str">
        <x:v>2.2</x:v>
      </x:c>
      <x:c r="C17" s="6" t="str">
        <x:v>Hoàn thiện và tự kiểm: Ma trận truy vết yêu cầu</x:v>
      </x:c>
      <x:c r="D17" s="22" t="n">
        <x:v>8</x:v>
      </x:c>
      <x:c r="E17" s="6" t="str">
        <x:v>Chiến</x:v>
      </x:c>
      <x:c r="F17" s="6" t="str">
        <x:v>ACT-2.1-01
ACT-3.2-01</x:v>
      </x:c>
      <x:c r="G17" s="6" t="str">
        <x:v>FS</x:v>
      </x:c>
      <x:c r="H17" s="6" t="n">
        <x:v>0</x:v>
      </x:c>
      <x:c r="I17" s="6" t="str">
        <x:v>Kế hoạch; chưa ghi actual</x:v>
      </x:c>
    </x:row>
    <x:row r="18" ht="75" customHeight="1">
      <x:c r="A18" s="6" t="str">
        <x:v>ACT-4.1-01</x:v>
      </x:c>
      <x:c r="B18" s="6" t="str">
        <x:v>4.1</x:v>
      </x:c>
      <x:c r="C18" s="6" t="str">
        <x:v>Hoàn thiện và tự kiểm: Nền tảng mã nguồn và CI</x:v>
      </x:c>
      <x:c r="D18" s="22" t="n">
        <x:v>24</x:v>
      </x:c>
      <x:c r="E18" s="6" t="str">
        <x:v>Việt Quang</x:v>
      </x:c>
      <x:c r="F18" s="6" t="str">
        <x:v>ACT-3.1-01</x:v>
      </x:c>
      <x:c r="G18" s="6" t="str">
        <x:v>FS</x:v>
      </x:c>
      <x:c r="H18" s="6" t="n">
        <x:v>0</x:v>
      </x:c>
      <x:c r="I18" s="6" t="str">
        <x:v>Kế hoạch; chưa ghi actual</x:v>
      </x:c>
    </x:row>
    <x:row r="19" ht="75" customHeight="1">
      <x:c r="A19" s="6" t="str">
        <x:v>ACT-4.2.1-01</x:v>
      </x:c>
      <x:c r="B19" s="6" t="str">
        <x:v>4.2.1</x:v>
      </x:c>
      <x:c r="C19" s="6" t="str">
        <x:v>Hoàn thiện và tự kiểm: Trình soạn thảo nội dung</x:v>
      </x:c>
      <x:c r="D19" s="22" t="n">
        <x:v>28.666666666666668</x:v>
      </x:c>
      <x:c r="E19" s="6" t="str">
        <x:v>Chiến</x:v>
      </x:c>
      <x:c r="F19" s="6" t="str">
        <x:v>ACT-3.2-01
ACT-4.1-01</x:v>
      </x:c>
      <x:c r="G19" s="6" t="str">
        <x:v>FS</x:v>
      </x:c>
      <x:c r="H19" s="6" t="n">
        <x:v>0</x:v>
      </x:c>
      <x:c r="I19" s="6" t="str">
        <x:v>Kế hoạch; chưa ghi actual</x:v>
      </x:c>
    </x:row>
    <x:row r="20" ht="75" customHeight="1">
      <x:c r="A20" s="6" t="str">
        <x:v>ACT-4.2.5-01</x:v>
      </x:c>
      <x:c r="B20" s="6" t="str">
        <x:v>4.2.5</x:v>
      </x:c>
      <x:c r="C20" s="6" t="str">
        <x:v>Hoàn thiện và tự kiểm: Kho dự án cục bộ</x:v>
      </x:c>
      <x:c r="D20" s="22" t="n">
        <x:v>15.333333333333334</x:v>
      </x:c>
      <x:c r="E20" s="6" t="str">
        <x:v>Chiến</x:v>
      </x:c>
      <x:c r="F20" s="6" t="str">
        <x:v>ACT-4.2.1-01</x:v>
      </x:c>
      <x:c r="G20" s="6" t="str">
        <x:v>FS</x:v>
      </x:c>
      <x:c r="H20" s="6" t="n">
        <x:v>0</x:v>
      </x:c>
      <x:c r="I20" s="6" t="str">
        <x:v>Kế hoạch; chưa ghi actual</x:v>
      </x:c>
    </x:row>
    <x:row r="21" ht="75" customHeight="1">
      <x:c r="A21" s="6" t="str">
        <x:v>ACT-4.3.1-01</x:v>
      </x:c>
      <x:c r="B21" s="6" t="str">
        <x:v>4.3.1</x:v>
      </x:c>
      <x:c r="C21" s="6" t="str">
        <x:v>Cấu hình tài khoản, đăng nhập và đổi mật khẩu</x:v>
      </x:c>
      <x:c r="D21" s="22" t="n">
        <x:v>6</x:v>
      </x:c>
      <x:c r="E21" s="6" t="str">
        <x:v>Việt Quang</x:v>
      </x:c>
      <x:c r="F21" s="6" t="str">
        <x:v>ACT-4.1-01
ACT-3.2-01</x:v>
      </x:c>
      <x:c r="G21" s="6" t="str">
        <x:v>FS</x:v>
      </x:c>
      <x:c r="H21" s="6" t="n">
        <x:v>0</x:v>
      </x:c>
      <x:c r="I21" s="6" t="str">
        <x:v>Kế hoạch; chưa ghi actual</x:v>
      </x:c>
    </x:row>
    <x:row r="22" ht="75" customHeight="1">
      <x:c r="A22" s="6" t="str">
        <x:v>ACT-4.3.1-02</x:v>
      </x:c>
      <x:c r="B22" s="6" t="str">
        <x:v>4.3.1</x:v>
      </x:c>
      <x:c r="C22" s="6" t="str">
        <x:v>Hoàn thiện role, lockout, CSRF và rate limit</x:v>
      </x:c>
      <x:c r="D22" s="22" t="n">
        <x:v>4</x:v>
      </x:c>
      <x:c r="E22" s="6" t="str">
        <x:v>Việt Quang</x:v>
      </x:c>
      <x:c r="F22" s="6" t="str">
        <x:v>ACT-4.3.1-01</x:v>
      </x:c>
      <x:c r="G22" s="6" t="str">
        <x:v>FS</x:v>
      </x:c>
      <x:c r="H22" s="6" t="n">
        <x:v>0</x:v>
      </x:c>
      <x:c r="I22" s="6" t="str">
        <x:v>Kế hoạch; chưa ghi actual</x:v>
      </x:c>
    </x:row>
    <x:row r="23" ht="75" customHeight="1">
      <x:c r="A23" s="6" t="str">
        <x:v>ACT-4.3.1-03</x:v>
      </x:c>
      <x:c r="B23" s="6" t="str">
        <x:v>4.3.1</x:v>
      </x:c>
      <x:c r="C23" s="6" t="str">
        <x:v>Kiểm test cục bộ và bàn giao API xác thực</x:v>
      </x:c>
      <x:c r="D23" s="22" t="n">
        <x:v>4</x:v>
      </x:c>
      <x:c r="E23" s="6" t="str">
        <x:v>Việt Quang</x:v>
      </x:c>
      <x:c r="F23" s="6" t="str">
        <x:v>ACT-4.3.1-02</x:v>
      </x:c>
      <x:c r="G23" s="6" t="str">
        <x:v>FS</x:v>
      </x:c>
      <x:c r="H23" s="6" t="n">
        <x:v>0</x:v>
      </x:c>
      <x:c r="I23" s="6" t="str">
        <x:v>Kế hoạch; chưa ghi actual</x:v>
      </x:c>
    </x:row>
    <x:row r="24" ht="75" customHeight="1">
      <x:c r="A24" s="6" t="str">
        <x:v>ACT-4.3.2-01</x:v>
      </x:c>
      <x:c r="B24" s="6" t="str">
        <x:v>4.3.2</x:v>
      </x:c>
      <x:c r="C24" s="6" t="str">
        <x:v>Hoàn thiện policy, snapshot và kỳ sử dụng UTC</x:v>
      </x:c>
      <x:c r="D24" s="22" t="n">
        <x:v>6.666666666666667</x:v>
      </x:c>
      <x:c r="E24" s="6" t="str">
        <x:v>Việt Quang</x:v>
      </x:c>
      <x:c r="F24" s="6" t="str">
        <x:v>ACT-4.3.1-03</x:v>
      </x:c>
      <x:c r="G24" s="6" t="str">
        <x:v>FS</x:v>
      </x:c>
      <x:c r="H24" s="6" t="n">
        <x:v>0</x:v>
      </x:c>
      <x:c r="I24" s="6" t="str">
        <x:v>Kế hoạch; chưa ghi actual</x:v>
      </x:c>
    </x:row>
    <x:row r="25" ht="75" customHeight="1">
      <x:c r="A25" s="6" t="str">
        <x:v>ACT-4.3.2-02</x:v>
      </x:c>
      <x:c r="B25" s="6" t="str">
        <x:v>4.3.2</x:v>
      </x:c>
      <x:c r="C25" s="6" t="str">
        <x:v>Hoàn thiện reserve/complete/cancel, concurrency và cộng lượt có kiểm soát</x:v>
      </x:c>
      <x:c r="D25" s="22" t="n">
        <x:v>10.666666666666666</x:v>
      </x:c>
      <x:c r="E25" s="6" t="str">
        <x:v>Việt Quang</x:v>
      </x:c>
      <x:c r="F25" s="6" t="str">
        <x:v>ACT-4.3.2-01</x:v>
      </x:c>
      <x:c r="G25" s="6" t="str">
        <x:v>FS</x:v>
      </x:c>
      <x:c r="H25" s="6" t="n">
        <x:v>0</x:v>
      </x:c>
      <x:c r="I25" s="6" t="str">
        <x:v>Kế hoạch; chưa ghi actual</x:v>
      </x:c>
    </x:row>
    <x:row r="26" ht="75" customHeight="1">
      <x:c r="A26" s="6" t="str">
        <x:v>ACT-4.3.2-03</x:v>
      </x:c>
      <x:c r="B26" s="6" t="str">
        <x:v>4.3.2</x:v>
      </x:c>
      <x:c r="C26" s="6" t="str">
        <x:v>Kiểm test cục bộ ranh giới hạn, TTL và hoàn lượt</x:v>
      </x:c>
      <x:c r="D26" s="22" t="n">
        <x:v>6.666666666666667</x:v>
      </x:c>
      <x:c r="E26" s="6" t="str">
        <x:v>Việt Quang</x:v>
      </x:c>
      <x:c r="F26" s="6" t="str">
        <x:v>ACT-4.3.2-02</x:v>
      </x:c>
      <x:c r="G26" s="6" t="str">
        <x:v>FS</x:v>
      </x:c>
      <x:c r="H26" s="6" t="n">
        <x:v>0</x:v>
      </x:c>
      <x:c r="I26" s="6" t="str">
        <x:v>Kế hoạch; chưa ghi actual</x:v>
      </x:c>
    </x:row>
    <x:row r="27" ht="75" customHeight="1">
      <x:c r="A27" s="6" t="str">
        <x:v>ACT-4.3.3-01</x:v>
      </x:c>
      <x:c r="B27" s="6" t="str">
        <x:v>4.3.3</x:v>
      </x:c>
      <x:c r="C27" s="6" t="str">
        <x:v>Hoàn thiện sự kiện, giả lập và chống lặp checkout</x:v>
      </x:c>
      <x:c r="D27" s="22" t="n">
        <x:v>7.666666666666667</x:v>
      </x:c>
      <x:c r="E27" s="6" t="str">
        <x:v>Việt Quang</x:v>
      </x:c>
      <x:c r="F27" s="6" t="str">
        <x:v>ACT-4.3.1-03</x:v>
      </x:c>
      <x:c r="G27" s="6" t="str">
        <x:v>FS</x:v>
      </x:c>
      <x:c r="H27" s="6" t="n">
        <x:v>0</x:v>
      </x:c>
      <x:c r="I27" s="6" t="str">
        <x:v>Kế hoạch; chưa ghi actual</x:v>
      </x:c>
    </x:row>
    <x:row r="28" ht="75" customHeight="1">
      <x:c r="A28" s="6" t="str">
        <x:v>ACT-4.3.3-02</x:v>
      </x:c>
      <x:c r="B28" s="6" t="str">
        <x:v>4.3.3</x:v>
      </x:c>
      <x:c r="C28" s="6" t="str">
        <x:v>Kết nối adapter/callback cổng thật sau hồ sơ được duyệt</x:v>
      </x:c>
      <x:c r="D28" s="22" t="n">
        <x:v>12.333333333333334</x:v>
      </x:c>
      <x:c r="E28" s="6" t="str">
        <x:v>Việt Quang</x:v>
      </x:c>
      <x:c r="F28" s="6" t="str">
        <x:v>ACT-4.3.3-01</x:v>
      </x:c>
      <x:c r="G28" s="6" t="str">
        <x:v>FS</x:v>
      </x:c>
      <x:c r="H28" s="6" t="n">
        <x:v>0</x:v>
      </x:c>
      <x:c r="I28" s="6" t="str">
        <x:v>Kế hoạch; chưa ghi actual</x:v>
      </x:c>
    </x:row>
    <x:row r="29" ht="75" customHeight="1">
      <x:c r="A29" s="6" t="str">
        <x:v>ACT-4.3.3-03</x:v>
      </x:c>
      <x:c r="B29" s="6" t="str">
        <x:v>4.3.3</x:v>
      </x:c>
      <x:c r="C29" s="6" t="str">
        <x:v>Hoàn thiện gia hạn, nhắc và test cục bộ</x:v>
      </x:c>
      <x:c r="D29" s="22" t="n">
        <x:v>6.666666666666667</x:v>
      </x:c>
      <x:c r="E29" s="6" t="str">
        <x:v>Việt Quang</x:v>
      </x:c>
      <x:c r="F29" s="6" t="str">
        <x:v>ACT-4.3.3-02</x:v>
      </x:c>
      <x:c r="G29" s="6" t="str">
        <x:v>FS</x:v>
      </x:c>
      <x:c r="H29" s="6" t="n">
        <x:v>0</x:v>
      </x:c>
      <x:c r="I29" s="6" t="str">
        <x:v>Kế hoạch; chưa ghi actual</x:v>
      </x:c>
    </x:row>
    <x:row r="30" ht="75" customHeight="1">
      <x:c r="A30" s="6" t="str">
        <x:v>ACT-4.3.4-01</x:v>
      </x:c>
      <x:c r="B30" s="6" t="str">
        <x:v>4.3.4</x:v>
      </x:c>
      <x:c r="C30" s="6" t="str">
        <x:v>Hoàn thiện trang auth và dữ liệu quyền</x:v>
      </x:c>
      <x:c r="D30" s="22" t="n">
        <x:v>4.333333333333333</x:v>
      </x:c>
      <x:c r="E30" s="6" t="str">
        <x:v>Việt Quang</x:v>
      </x:c>
      <x:c r="F30" s="6" t="str">
        <x:v>ACT-4.3.2-03</x:v>
      </x:c>
      <x:c r="G30" s="6" t="str">
        <x:v>FS</x:v>
      </x:c>
      <x:c r="H30" s="6" t="n">
        <x:v>0</x:v>
      </x:c>
      <x:c r="I30" s="6" t="str">
        <x:v>Kế hoạch; chưa ghi actual</x:v>
      </x:c>
    </x:row>
    <x:row r="31" ht="75" customHeight="1">
      <x:c r="A31" s="6" t="str">
        <x:v>ACT-4.3.4-02</x:v>
      </x:c>
      <x:c r="B31" s="6" t="str">
        <x:v>4.3.4</x:v>
      </x:c>
      <x:c r="C31" s="6" t="str">
        <x:v>Ghép mua/gia hạn và hạn thuê bao</x:v>
      </x:c>
      <x:c r="D31" s="22" t="n">
        <x:v>6.666666666666667</x:v>
      </x:c>
      <x:c r="E31" s="6" t="str">
        <x:v>Việt Quang</x:v>
      </x:c>
      <x:c r="F31" s="6" t="str">
        <x:v>ACT-4.3.3-03
ACT-4.3.4-01</x:v>
      </x:c>
      <x:c r="G31" s="6" t="str">
        <x:v>FS</x:v>
      </x:c>
      <x:c r="H31" s="6" t="n">
        <x:v>0</x:v>
      </x:c>
      <x:c r="I31" s="6" t="str">
        <x:v>Kế hoạch; chưa ghi actual</x:v>
      </x:c>
    </x:row>
    <x:row r="32" ht="75" customHeight="1">
      <x:c r="A32" s="6" t="str">
        <x:v>ACT-4.3.4-03</x:v>
      </x:c>
      <x:c r="B32" s="6" t="str">
        <x:v>4.3.4</x:v>
      </x:c>
      <x:c r="C32" s="6" t="str">
        <x:v>Ghép dữ liệu hóa đơn/chỗ sau hai PP phân rã và xong API</x:v>
      </x:c>
      <x:c r="D32" s="22" t="n">
        <x:v>5</x:v>
      </x:c>
      <x:c r="E32" s="6" t="str">
        <x:v>Việt Quang</x:v>
      </x:c>
      <x:c r="F32" s="6" t="str">
        <x:v>ACT-4.3.4-02</x:v>
      </x:c>
      <x:c r="G32" s="6" t="str">
        <x:v>FS</x:v>
      </x:c>
      <x:c r="H32" s="6" t="n">
        <x:v>0</x:v>
      </x:c>
      <x:c r="I32" s="6" t="str">
        <x:v>Kế hoạch; chưa ghi actual</x:v>
      </x:c>
    </x:row>
    <x:row r="33" ht="75" customHeight="1">
      <x:c r="A33" s="6" t="str">
        <x:v>ACT-4.4.1-01</x:v>
      </x:c>
      <x:c r="B33" s="6" t="str">
        <x:v>4.4.1</x:v>
      </x:c>
      <x:c r="C33" s="6" t="str">
        <x:v>Chuẩn hóa model/catalog và validator manifest/version</x:v>
      </x:c>
      <x:c r="D33" s="22" t="n">
        <x:v>7</x:v>
      </x:c>
      <x:c r="E33" s="6" t="str">
        <x:v>Quang Anh</x:v>
      </x:c>
      <x:c r="F33" s="6" t="str">
        <x:v>ACT-4.1-01
ACT-3.2-01</x:v>
      </x:c>
      <x:c r="G33" s="6" t="str">
        <x:v>FS</x:v>
      </x:c>
      <x:c r="H33" s="6" t="n">
        <x:v>0</x:v>
      </x:c>
      <x:c r="I33" s="6" t="str">
        <x:v>Kế hoạch; chưa ghi actual</x:v>
      </x:c>
    </x:row>
    <x:row r="34" ht="75" customHeight="1">
      <x:c r="A34" s="6" t="str">
        <x:v>ACT-4.2.6-01</x:v>
      </x:c>
      <x:c r="B34" s="6" t="str">
        <x:v>4.2.6</x:v>
      </x:c>
      <x:c r="C34" s="6" t="str">
        <x:v>Hoàn thiện và tự kiểm: Kiểm quyền xuất và danh mục mẫu</x:v>
      </x:c>
      <x:c r="D34" s="22" t="n">
        <x:v>23.666666666666668</x:v>
      </x:c>
      <x:c r="E34" s="6" t="str">
        <x:v>Chiến</x:v>
      </x:c>
      <x:c r="F34" s="6" t="str">
        <x:v>ACT-4.2.4-01
ACT-4.3.2-01
ACT-4.4.1-01</x:v>
      </x:c>
      <x:c r="G34" s="6" t="str">
        <x:v>FS</x:v>
      </x:c>
      <x:c r="H34" s="6" t="n">
        <x:v>0</x:v>
      </x:c>
      <x:c r="I34" s="6" t="str">
        <x:v>Kế hoạch; chưa ghi actual</x:v>
      </x:c>
    </x:row>
    <x:row r="35" ht="75" customHeight="1">
      <x:c r="A35" s="6" t="str">
        <x:v>ACT-5.1-01</x:v>
      </x:c>
      <x:c r="B35" s="6" t="str">
        <x:v>5.1</x:v>
      </x:c>
      <x:c r="C35" s="6" t="str">
        <x:v>Hoàn thiện và tự kiểm: Bản tích hợp A–B–C và bằng chứng</x:v>
      </x:c>
      <x:c r="D35" s="22" t="n">
        <x:v>16.333333333333332</x:v>
      </x:c>
      <x:c r="E35" s="6" t="str">
        <x:v>Chiến</x:v>
      </x:c>
      <x:c r="F35" s="6" t="str">
        <x:v>ACT-4.2.6-01
ACT-4.2.5-01
ACT-4.3.3-01</x:v>
      </x:c>
      <x:c r="G35" s="6" t="str">
        <x:v>FS</x:v>
      </x:c>
      <x:c r="H35" s="6" t="n">
        <x:v>0</x:v>
      </x:c>
      <x:c r="I35" s="6" t="str">
        <x:v>Kế hoạch; chưa ghi actual</x:v>
      </x:c>
    </x:row>
    <x:row r="36" ht="75" customHeight="1">
      <x:c r="A36" s="6" t="str">
        <x:v>ACT-4.4.1-02</x:v>
      </x:c>
      <x:c r="B36" s="6" t="str">
        <x:v>4.4.1</x:v>
      </x:c>
      <x:c r="C36" s="6" t="str">
        <x:v>Hoàn thiện ảnh dùng chung và kiểm tham chiếu</x:v>
      </x:c>
      <x:c r="D36" s="22" t="n">
        <x:v>9</x:v>
      </x:c>
      <x:c r="E36" s="6" t="str">
        <x:v>Quang Anh</x:v>
      </x:c>
      <x:c r="F36" s="6" t="str">
        <x:v>ACT-4.4.1-01</x:v>
      </x:c>
      <x:c r="G36" s="6" t="str">
        <x:v>FS</x:v>
      </x:c>
      <x:c r="H36" s="6" t="n">
        <x:v>0</x:v>
      </x:c>
      <x:c r="I36" s="6" t="str">
        <x:v>Kế hoạch; chưa ghi actual</x:v>
      </x:c>
    </x:row>
    <x:row r="37" ht="75" customHeight="1">
      <x:c r="A37" s="6" t="str">
        <x:v>ACT-4.4.1-03</x:v>
      </x:c>
      <x:c r="B37" s="6" t="str">
        <x:v>4.4.1</x:v>
      </x:c>
      <x:c r="C37" s="6" t="str">
        <x:v>Kiểm unit/integration gói, quyền, trạng thái và audit</x:v>
      </x:c>
      <x:c r="D37" s="22" t="n">
        <x:v>6</x:v>
      </x:c>
      <x:c r="E37" s="6" t="str">
        <x:v>Quang Anh</x:v>
      </x:c>
      <x:c r="F37" s="6" t="str">
        <x:v>ACT-4.4.1-02</x:v>
      </x:c>
      <x:c r="G37" s="6" t="str">
        <x:v>FS</x:v>
      </x:c>
      <x:c r="H37" s="6" t="n">
        <x:v>0</x:v>
      </x:c>
      <x:c r="I37" s="6" t="str">
        <x:v>Kế hoạch; chưa ghi actual</x:v>
      </x:c>
    </x:row>
    <x:row r="38" ht="75" customHeight="1">
      <x:c r="A38" s="6" t="str">
        <x:v>ACT-4.4.3-01</x:v>
      </x:c>
      <x:c r="B38" s="6" t="str">
        <x:v>4.4.3</x:v>
      </x:c>
      <x:c r="C38" s="6" t="str">
        <x:v>Định nghĩa kỳ metrics, nguồn LI và fixture</x:v>
      </x:c>
      <x:c r="D38" s="22" t="n">
        <x:v>5</x:v>
      </x:c>
      <x:c r="E38" s="6" t="str">
        <x:v>Quang Anh</x:v>
      </x:c>
      <x:c r="F38" s="6" t="str">
        <x:v>ACT-4.1-01
ACT-3.2-01</x:v>
      </x:c>
      <x:c r="G38" s="6" t="str">
        <x:v>FS</x:v>
      </x:c>
      <x:c r="H38" s="6" t="n">
        <x:v>0</x:v>
      </x:c>
      <x:c r="I38" s="6" t="str">
        <x:v>Kế hoạch; chưa ghi actual</x:v>
      </x:c>
    </x:row>
    <x:row r="39" ht="75" customHeight="1">
      <x:c r="A39" s="6" t="str">
        <x:v>ACT-4.4.3-02</x:v>
      </x:c>
      <x:c r="B39" s="6" t="str">
        <x:v>4.4.3</x:v>
      </x:c>
      <x:c r="C39" s="6" t="str">
        <x:v>Hoàn thiện health/error và bộ dữ liệu theo kỳ</x:v>
      </x:c>
      <x:c r="D39" s="22" t="n">
        <x:v>5</x:v>
      </x:c>
      <x:c r="E39" s="6" t="str">
        <x:v>Quang Anh</x:v>
      </x:c>
      <x:c r="F39" s="6" t="str">
        <x:v>ACT-4.4.3-01</x:v>
      </x:c>
      <x:c r="G39" s="6" t="str">
        <x:v>FS</x:v>
      </x:c>
      <x:c r="H39" s="6" t="n">
        <x:v>0</x:v>
      </x:c>
      <x:c r="I39" s="6" t="str">
        <x:v>Kế hoạch; chưa ghi actual</x:v>
      </x:c>
    </x:row>
    <x:row r="40" ht="75" customHeight="1">
      <x:c r="A40" s="6" t="str">
        <x:v>ACT-4.4.3-03</x:v>
      </x:c>
      <x:c r="B40" s="6" t="str">
        <x:v>4.4.3</x:v>
      </x:c>
      <x:c r="C40" s="6" t="str">
        <x:v>Kiểm metrics/failure health/redaction, lưu kết quả</x:v>
      </x:c>
      <x:c r="D40" s="22" t="n">
        <x:v>4</x:v>
      </x:c>
      <x:c r="E40" s="6" t="str">
        <x:v>Quang Anh</x:v>
      </x:c>
      <x:c r="F40" s="6" t="str">
        <x:v>ACT-4.4.3-02</x:v>
      </x:c>
      <x:c r="G40" s="6" t="str">
        <x:v>FS</x:v>
      </x:c>
      <x:c r="H40" s="6" t="n">
        <x:v>0</x:v>
      </x:c>
      <x:c r="I40" s="6" t="str">
        <x:v>Kế hoạch; chưa ghi actual</x:v>
      </x:c>
    </x:row>
    <x:row r="41" ht="75" customHeight="1">
      <x:c r="A41" s="6" t="str">
        <x:v>ACT-6.2-01</x:v>
      </x:c>
      <x:c r="B41" s="6" t="str">
        <x:v>6.2</x:v>
      </x:c>
      <x:c r="C41" s="6" t="str">
        <x:v>Hoàn thiện và tự kiểm: Gói demo và hướng dẫn sử dụng</x:v>
      </x:c>
      <x:c r="D41" s="22" t="n">
        <x:v>10</x:v>
      </x:c>
      <x:c r="E41" s="6" t="str">
        <x:v>Quang Anh</x:v>
      </x:c>
      <x:c r="F41" s="6" t="str">
        <x:v>ACT-5.1-01</x:v>
      </x:c>
      <x:c r="G41" s="6" t="str">
        <x:v>FS</x:v>
      </x:c>
      <x:c r="H41" s="6" t="n">
        <x:v>0</x:v>
      </x:c>
      <x:c r="I41" s="6" t="str">
        <x:v>Kế hoạch; chưa ghi actual</x:v>
      </x:c>
    </x:row>
    <x:row r="42" ht="75" customHeight="1">
      <x:c r="A42" s="6" t="str">
        <x:v>ACT-6.3-01</x:v>
      </x:c>
      <x:c r="B42" s="6" t="str">
        <x:v>6.3</x:v>
      </x:c>
      <x:c r="C42" s="6" t="str">
        <x:v>Hoàn thiện và tự kiểm: Hồ sơ kết thúc và bài trình bày</x:v>
      </x:c>
      <x:c r="D42" s="22" t="n">
        <x:v>12</x:v>
      </x:c>
      <x:c r="E42" s="6" t="str">
        <x:v>Quang Anh</x:v>
      </x:c>
      <x:c r="F42" s="6" t="str">
        <x:v>ACT-6.2-01
ACT-1.3-01</x:v>
      </x:c>
      <x:c r="G42" s="6" t="str">
        <x:v>FS</x:v>
      </x:c>
      <x:c r="H42" s="6" t="n">
        <x:v>0</x:v>
      </x:c>
      <x:c r="I42" s="6" t="str">
        <x:v>Kế hoạch; chưa ghi actual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4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9" hidden="0" customWidth="1"/>
    <x:col min="9" max="9" width="26" hidden="0" customWidth="1"/>
    <x:col min="10" max="10" width="55" hidden="0" customWidth="1"/>
    <x:col min="11" max="11" width="24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>
      <x:c r="A2" s="15" t="str">
        <x:v>P10 — Ước lượng gói WBS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14" t="str">
        <x:v>Dự thảo 24/09/2026. Thiếu xác nhận độc lập hoặc nghiệm thu sản phẩm.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>
      <x:c r="A4" s="16" t="str">
        <x:v>Nguồn: A_01/A_02, B_01/B_02, C_01/C_02 và bộ quyết định thống nhất ngày 24/09/2026.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 ht="40" customHeight="1">
      <x:c r="A7" s="20" t="str">
        <x:v>WBS</x:v>
      </x:c>
      <x:c r="B7" s="20" t="str">
        <x:v>Tên gói</x:v>
      </x:c>
      <x:c r="C7" s="20" t="str">
        <x:v>WP / PP</x:v>
      </x:c>
      <x:c r="D7" s="20" t="str">
        <x:v>O (giờ)</x:v>
      </x:c>
      <x:c r="E7" s="20" t="str">
        <x:v>M (giờ)</x:v>
      </x:c>
      <x:c r="F7" s="20" t="str">
        <x:v>P (giờ)</x:v>
      </x:c>
      <x:c r="G7" s="20" t="str">
        <x:v>Trung bình (giờ)</x:v>
      </x:c>
      <x:c r="H7" s="20" t="str">
        <x:v>Chủ gói</x:v>
      </x:c>
      <x:c r="I7" s="20" t="str">
        <x:v>Phạm vi</x:v>
      </x:c>
      <x:c r="J7" s="20" t="str">
        <x:v>Cơ sở</x:v>
      </x:c>
      <x:c r="K7" s="20" t="str">
        <x:v>Mốc phân rã</x:v>
      </x:c>
    </x:row>
    <x:row r="8" ht="85" customHeight="1">
      <x:c r="A8" s="6" t="str">
        <x:v>1.1</x:v>
      </x:c>
      <x:c r="B8" s="6" t="str">
        <x:v>Bộ hồ sơ khởi tạo</x:v>
      </x:c>
      <x:c r="C8" s="6" t="str">
        <x:v>WP</x:v>
      </x:c>
      <x:c r="D8" s="13" t="n">
        <x:v>18</x:v>
      </x:c>
      <x:c r="E8" s="13" t="n">
        <x:v>23</x:v>
      </x:c>
      <x:c r="F8" s="13" t="n">
        <x:v>28</x:v>
      </x:c>
      <x:c r="G8" s="21" t="n">
        <x:f>SUM(D8:F8)/3</x:f>
        <x:v>23</x:v>
      </x:c>
      <x:c r="H8" s="6" t="str">
        <x:v>Chiến</x:v>
      </x:c>
      <x:c r="I8" s="6" t="str">
        <x:v>Toàn phạm vi Charter v2.1</x:v>
      </x:c>
      <x:c r="J8" s="6" t="str">
        <x:v>Forecast23h của hồ sơ đã có; không suy ra giờ đã làm.</x:v>
      </x:c>
      <x:c r="K8" s="6" t="str">
        <x:v>M0</x:v>
      </x:c>
    </x:row>
    <x:row r="9" ht="85" customHeight="1">
      <x:c r="A9" s="6" t="str">
        <x:v>1.2</x:v>
      </x:c>
      <x:c r="B9" s="6" t="str">
        <x:v>Kế hoạch quản lý dự án</x:v>
      </x:c>
      <x:c r="C9" s="6" t="str">
        <x:v>WP</x:v>
      </x:c>
      <x:c r="D9" s="13" t="n">
        <x:v>20</x:v>
      </x:c>
      <x:c r="E9" s="13" t="n">
        <x:v>28</x:v>
      </x:c>
      <x:c r="F9" s="13" t="n">
        <x:v>36</x:v>
      </x:c>
      <x:c r="G9" s="21" t="n">
        <x:f>SUM(D9:F9)/3</x:f>
        <x:v>28</x:v>
      </x:c>
      <x:c r="H9" s="6" t="str">
        <x:v>Chiến</x:v>
      </x:c>
      <x:c r="I9" s="6" t="str">
        <x:v>Toàn phạm vi Charter v2.1</x:v>
      </x:c>
      <x:c r="J9" s="6" t="str">
        <x:v>Ghép PMP và kế hoạch thành phần; gồm QA tài liệu, RACI, rủi ro.</x:v>
      </x:c>
      <x:c r="K9" s="6" t="str">
        <x:v>DOC-02</x:v>
      </x:c>
    </x:row>
    <x:row r="10" ht="85" customHeight="1">
      <x:c r="A10" s="6" t="str">
        <x:v>1.3</x:v>
      </x:c>
      <x:c r="B10" s="6" t="str">
        <x:v>Báo cáo theo dõi và kiểm soát</x:v>
      </x:c>
      <x:c r="C10" s="6" t="str">
        <x:v>WP</x:v>
      </x:c>
      <x:c r="D10" s="13" t="n">
        <x:v>12</x:v>
      </x:c>
      <x:c r="E10" s="13" t="n">
        <x:v>16</x:v>
      </x:c>
      <x:c r="F10" s="13" t="n">
        <x:v>20</x:v>
      </x:c>
      <x:c r="G10" s="21" t="n">
        <x:f>SUM(D10:F10)/3</x:f>
        <x:v>16</x:v>
      </x:c>
      <x:c r="H10" s="6" t="str">
        <x:v>Việt Quang</x:v>
      </x:c>
      <x:c r="I10" s="6" t="str">
        <x:v>Toàn phạm vi Charter v2.1</x:v>
      </x:c>
      <x:c r="J10" s="6" t="str">
        <x:v>PP cũ được mở thành WP: work log, issue/change, báo cáo, EVM có điều kiện.</x:v>
      </x:c>
      <x:c r="K10" s="6" t="str">
        <x:v>DOC-03</x:v>
      </x:c>
    </x:row>
    <x:row r="11" ht="85" customHeight="1">
      <x:c r="A11" s="6" t="str">
        <x:v>2.1</x:v>
      </x:c>
      <x:c r="B11" s="6" t="str">
        <x:v>Đặc tả yêu cầu phần mềm</x:v>
      </x:c>
      <x:c r="C11" s="6" t="str">
        <x:v>WP</x:v>
      </x:c>
      <x:c r="D11" s="13" t="n">
        <x:v>8</x:v>
      </x:c>
      <x:c r="E11" s="13" t="n">
        <x:v>12</x:v>
      </x:c>
      <x:c r="F11" s="13" t="n">
        <x:v>16</x:v>
      </x:c>
      <x:c r="G11" s="21" t="n">
        <x:f>SUM(D11:F11)/3</x:f>
        <x:v>12</x:v>
      </x:c>
      <x:c r="H11" s="6" t="str">
        <x:v>Chiến</x:v>
      </x:c>
      <x:c r="I11" s="6" t="str">
        <x:v>Toàn phạm vi Charter v2.1</x:v>
      </x:c>
      <x:c r="J11" s="6" t="str">
        <x:v>Hợp nhất yêu cầu ba module, tiêu chí và ngoại lệ.</x:v>
      </x:c>
      <x:c r="K11" s="6" t="str">
        <x:v>DOC-01</x:v>
      </x:c>
    </x:row>
    <x:row r="12" ht="85" customHeight="1">
      <x:c r="A12" s="6" t="str">
        <x:v>2.2</x:v>
      </x:c>
      <x:c r="B12" s="6" t="str">
        <x:v>Ma trận truy vết yêu cầu</x:v>
      </x:c>
      <x:c r="C12" s="6" t="str">
        <x:v>WP</x:v>
      </x:c>
      <x:c r="D12" s="13" t="n">
        <x:v>6</x:v>
      </x:c>
      <x:c r="E12" s="13" t="n">
        <x:v>8</x:v>
      </x:c>
      <x:c r="F12" s="13" t="n">
        <x:v>10</x:v>
      </x:c>
      <x:c r="G12" s="21" t="n">
        <x:f>SUM(D12:F12)/3</x:f>
        <x:v>8</x:v>
      </x:c>
      <x:c r="H12" s="6" t="str">
        <x:v>Chiến</x:v>
      </x:c>
      <x:c r="I12" s="6" t="str">
        <x:v>Toàn phạm vi Charter v2.1</x:v>
      </x:c>
      <x:c r="J12" s="6" t="str">
        <x:v>Ghép mã duy nhất; nối Charter, thiết kế, code, TC, trạng thái.</x:v>
      </x:c>
      <x:c r="K12" s="6" t="str">
        <x:v>DOC-02</x:v>
      </x:c>
    </x:row>
    <x:row r="13" ht="85" customHeight="1">
      <x:c r="A13" s="6" t="str">
        <x:v>3.1</x:v>
      </x:c>
      <x:c r="B13" s="6" t="str">
        <x:v>Kiến trúc và nguyên mẫu mã hóa</x:v>
      </x:c>
      <x:c r="C13" s="6" t="str">
        <x:v>WP</x:v>
      </x:c>
      <x:c r="D13" s="13" t="n">
        <x:v>6</x:v>
      </x:c>
      <x:c r="E13" s="13" t="n">
        <x:v>10</x:v>
      </x:c>
      <x:c r="F13" s="13" t="n">
        <x:v>14</x:v>
      </x:c>
      <x:c r="G13" s="21" t="n">
        <x:f>SUM(D13:F13)/3</x:f>
        <x:v>10</x:v>
      </x:c>
      <x:c r="H13" s="6" t="str">
        <x:v>Chiến</x:v>
      </x:c>
      <x:c r="I13" s="6" t="str">
        <x:v>Toàn phạm vi Charter v2.1</x:v>
      </x:c>
      <x:c r="J13" s="6" t="str">
        <x:v>Tách 6/10/14h nguyên mẫu khỏi gói xuất A cũ 20/28/48; phần còn lại 14/18/34, tổng không đổi.</x:v>
      </x:c>
      <x:c r="K13" s="6" t="str">
        <x:v>M2</x:v>
      </x:c>
    </x:row>
    <x:row r="14" ht="85" customHeight="1">
      <x:c r="A14" s="6" t="str">
        <x:v>3.2</x:v>
      </x:c>
      <x:c r="B14" s="6" t="str">
        <x:v>Đặc tả giao tiếp và schema dự án</x:v>
      </x:c>
      <x:c r="C14" s="6" t="str">
        <x:v>WP</x:v>
      </x:c>
      <x:c r="D14" s="13" t="n">
        <x:v>17</x:v>
      </x:c>
      <x:c r="E14" s="13" t="n">
        <x:v>22</x:v>
      </x:c>
      <x:c r="F14" s="13" t="n">
        <x:v>31</x:v>
      </x:c>
      <x:c r="G14" s="21" t="n">
        <x:f>SUM(D14:F14)/3</x:f>
        <x:v>23.333333333333332</x:v>
      </x:c>
      <x:c r="H14" s="6" t="str">
        <x:v>Chiến</x:v>
      </x:c>
      <x:c r="I14" s="6" t="str">
        <x:v>Toàn phạm vi Charter v2.1</x:v>
      </x:c>
      <x:c r="J14" s="6" t="str">
        <x:v>Schema A cũ8/10/16 + giao tiếp chung9/12/15; tE23⅓h. Trong đó11⅓h thuộc A,12h dùng chung.</x:v>
      </x:c>
      <x:c r="K14" s="6" t="str">
        <x:v>DOC-01</x:v>
      </x:c>
    </x:row>
    <x:row r="15" ht="85" customHeight="1">
      <x:c r="A15" s="6" t="str">
        <x:v>4.1</x:v>
      </x:c>
      <x:c r="B15" s="6" t="str">
        <x:v>Nền tảng mã nguồn và CI</x:v>
      </x:c>
      <x:c r="C15" s="6" t="str">
        <x:v>WP</x:v>
      </x:c>
      <x:c r="D15" s="13" t="n">
        <x:v>18</x:v>
      </x:c>
      <x:c r="E15" s="13" t="n">
        <x:v>24</x:v>
      </x:c>
      <x:c r="F15" s="13" t="n">
        <x:v>30</x:v>
      </x:c>
      <x:c r="G15" s="21" t="n">
        <x:f>SUM(D15:F15)/3</x:f>
        <x:v>24</x:v>
      </x:c>
      <x:c r="H15" s="6" t="str">
        <x:v>Việt Quang</x:v>
      </x:c>
      <x:c r="I15" s="6" t="str">
        <x:v>Toàn phạm vi Charter v2.1</x:v>
      </x:c>
      <x:c r="J15" s="6" t="str">
        <x:v>Repo, DB, CSRF, OpenAPI, CI, PWA; chuyển đầu mối B để chia tải, không đổi tổng24h.</x:v>
      </x:c>
      <x:c r="K15" s="6" t="str">
        <x:v>M2</x:v>
      </x:c>
    </x:row>
    <x:row r="16" ht="85" customHeight="1">
      <x:c r="A16" s="6" t="str">
        <x:v>4.2.1</x:v>
      </x:c>
      <x:c r="B16" s="6" t="str">
        <x:v>Trình soạn thảo nội dung</x:v>
      </x:c>
      <x:c r="C16" s="6" t="str">
        <x:v>WP</x:v>
      </x:c>
      <x:c r="D16" s="13" t="n">
        <x:v>20</x:v>
      </x:c>
      <x:c r="E16" s="13" t="n">
        <x:v>26</x:v>
      </x:c>
      <x:c r="F16" s="13" t="n">
        <x:v>40</x:v>
      </x:c>
      <x:c r="G16" s="21" t="n">
        <x:f>SUM(D16:F16)/3</x:f>
        <x:v>28.666666666666668</x:v>
      </x:c>
      <x:c r="H16" s="6" t="str">
        <x:v>Chiến</x:v>
      </x:c>
      <x:c r="I16" s="6" t="str">
        <x:v>Toàn phạm vi Charter v2.1</x:v>
      </x:c>
      <x:c r="J16" s="6" t="str">
        <x:v>Biểu mẫu, ảnh EXIF, undo/redo, bàn phím và xử lý ảnh lỗi.</x:v>
      </x:c>
      <x:c r="K16" s="6" t="str">
        <x:v>M5</x:v>
      </x:c>
    </x:row>
    <x:row r="17" ht="85" customHeight="1">
      <x:c r="A17" s="6" t="str">
        <x:v>4.2.2</x:v>
      </x:c>
      <x:c r="B17" s="6" t="str">
        <x:v>Thư viện năm mẫu trình chiếu</x:v>
      </x:c>
      <x:c r="C17" s="6" t="str">
        <x:v>WP</x:v>
      </x:c>
      <x:c r="D17" s="13" t="n">
        <x:v>8</x:v>
      </x:c>
      <x:c r="E17" s="13" t="n">
        <x:v>12</x:v>
      </x:c>
      <x:c r="F17" s="13" t="n">
        <x:v>20</x:v>
      </x:c>
      <x:c r="G17" s="21" t="n">
        <x:f>SUM(D17:F17)/3</x:f>
        <x:v>13.333333333333334</x:v>
      </x:c>
      <x:c r="H17" s="6" t="str">
        <x:v>Chiến</x:v>
      </x:c>
      <x:c r="I17" s="6" t="str">
        <x:v>Toàn phạm vi Charter v2.1</x:v>
      </x:c>
      <x:c r="J17" s="6" t="str">
        <x:v>Năm bộ bố cục/màu và khung vàng; biến động do sai khác render.</x:v>
      </x:c>
      <x:c r="K17" s="6" t="str">
        <x:v>M3</x:v>
      </x:c>
    </x:row>
    <x:row r="18" ht="85" customHeight="1">
      <x:c r="A18" s="6" t="str">
        <x:v>4.2.3</x:v>
      </x:c>
      <x:c r="B18" s="6" t="str">
        <x:v>Bộ dựng và xem trước</x:v>
      </x:c>
      <x:c r="C18" s="6" t="str">
        <x:v>WP</x:v>
      </x:c>
      <x:c r="D18" s="13" t="n">
        <x:v>16</x:v>
      </x:c>
      <x:c r="E18" s="13" t="n">
        <x:v>22</x:v>
      </x:c>
      <x:c r="F18" s="13" t="n">
        <x:v>36</x:v>
      </x:c>
      <x:c r="G18" s="21" t="n">
        <x:f>SUM(D18:F18)/3</x:f>
        <x:v>24.666666666666668</x:v>
      </x:c>
      <x:c r="H18" s="6" t="str">
        <x:v>Chiến</x:v>
      </x:c>
      <x:c r="I18" s="6" t="str">
        <x:v>Toàn phạm vi Charter v2.1</x:v>
      </x:c>
      <x:c r="J18" s="6" t="str">
        <x:v>Renderer Canvas, xuống dòng tiếng Việt, parity; khác GPU/font.</x:v>
      </x:c>
      <x:c r="K18" s="6" t="str">
        <x:v>M3</x:v>
      </x:c>
    </x:row>
    <x:row r="19" ht="85" customHeight="1">
      <x:c r="A19" s="6" t="str">
        <x:v>4.2.4</x:v>
      </x:c>
      <x:c r="B19" s="6" t="str">
        <x:v>Bộ xuất MP4 theo luồng</x:v>
      </x:c>
      <x:c r="C19" s="6" t="str">
        <x:v>WP</x:v>
      </x:c>
      <x:c r="D19" s="13" t="n">
        <x:v>14</x:v>
      </x:c>
      <x:c r="E19" s="13" t="n">
        <x:v>18</x:v>
      </x:c>
      <x:c r="F19" s="13" t="n">
        <x:v>34</x:v>
      </x:c>
      <x:c r="G19" s="21" t="n">
        <x:f>SUM(D19:F19)/3</x:f>
        <x:v>22</x:v>
      </x:c>
      <x:c r="H19" s="6" t="str">
        <x:v>Chiến</x:v>
      </x:c>
      <x:c r="I19" s="6" t="str">
        <x:v>Toàn phạm vi Charter v2.1</x:v>
      </x:c>
      <x:c r="J19" s="6" t="str">
        <x:v>Worker, ba đường ghi, dọn tài nguyên, encoder/dung lượng; đã tách nguyên mẫu sang3.1.</x:v>
      </x:c>
      <x:c r="K19" s="6" t="str">
        <x:v>M4</x:v>
      </x:c>
    </x:row>
    <x:row r="20" ht="85" customHeight="1">
      <x:c r="A20" s="6" t="str">
        <x:v>4.2.5</x:v>
      </x:c>
      <x:c r="B20" s="6" t="str">
        <x:v>Kho dự án cục bộ</x:v>
      </x:c>
      <x:c r="C20" s="6" t="str">
        <x:v>WP</x:v>
      </x:c>
      <x:c r="D20" s="13" t="n">
        <x:v>10</x:v>
      </x:c>
      <x:c r="E20" s="13" t="n">
        <x:v>14</x:v>
      </x:c>
      <x:c r="F20" s="13" t="n">
        <x:v>22</x:v>
      </x:c>
      <x:c r="G20" s="21" t="n">
        <x:f>SUM(D20:F20)/3</x:f>
        <x:v>15.333333333333334</x:v>
      </x:c>
      <x:c r="H20" s="6" t="str">
        <x:v>Chiến</x:v>
      </x:c>
      <x:c r="I20" s="6" t="str">
        <x:v>Toàn phạm vi Charter v2.1</x:v>
      </x:c>
      <x:c r="J20" s="6" t="str">
        <x:v>IndexedDB/OPFS, gói checksum, phục hồi; migration snapshot thuộc3.2/4.2.6.</x:v>
      </x:c>
      <x:c r="K20" s="6" t="str">
        <x:v>M5</x:v>
      </x:c>
    </x:row>
    <x:row r="21" ht="85" customHeight="1">
      <x:c r="A21" s="6" t="str">
        <x:v>4.2.6</x:v>
      </x:c>
      <x:c r="B21" s="6" t="str">
        <x:v>Kiểm quyền xuất và danh mục mẫu</x:v>
      </x:c>
      <x:c r="C21" s="6" t="str">
        <x:v>WP</x:v>
      </x:c>
      <x:c r="D21" s="13" t="n">
        <x:v>16</x:v>
      </x:c>
      <x:c r="E21" s="13" t="n">
        <x:v>21</x:v>
      </x:c>
      <x:c r="F21" s="13" t="n">
        <x:v>34</x:v>
      </x:c>
      <x:c r="G21" s="21" t="n">
        <x:f>SUM(D21:F21)/3</x:f>
        <x:v>23.666666666666668</x:v>
      </x:c>
      <x:c r="H21" s="6" t="str">
        <x:v>Chiến</x:v>
      </x:c>
      <x:c r="I21" s="6" t="str">
        <x:v>Toàn phạm vi Charter v2.1</x:v>
      </x:c>
      <x:c r="J21" s="6" t="str">
        <x:v>Cộng gói cũ3.7 (9/12/18) và3.8 (7/9/16); gồm xử lý complete và tương thích mẫu, không cộng lỗi đã biết lần nữa.</x:v>
      </x:c>
      <x:c r="K21" s="6" t="str">
        <x:v>M5</x:v>
      </x:c>
    </x:row>
    <x:row r="22" ht="85" customHeight="1">
      <x:c r="A22" s="6" t="str">
        <x:v>4.2.7</x:v>
      </x:c>
      <x:c r="B22" s="6" t="str">
        <x:v>Tạm dừng xuất và cảnh báo trình duyệt</x:v>
      </x:c>
      <x:c r="C22" s="6" t="str">
        <x:v>PP</x:v>
      </x:c>
      <x:c r="D22" s="13" t="n">
        <x:v>6</x:v>
      </x:c>
      <x:c r="E22" s="13" t="n">
        <x:v>10</x:v>
      </x:c>
      <x:c r="F22" s="13" t="n">
        <x:v>18</x:v>
      </x:c>
      <x:c r="G22" s="21" t="n">
        <x:f>SUM(D22:F22)/3</x:f>
        <x:v>11.333333333333334</x:v>
      </x:c>
      <x:c r="H22" s="6" t="str">
        <x:v>Chiến</x:v>
      </x:c>
      <x:c r="I22" s="6" t="str">
        <x:v>Toàn phạm vi Charter v2.1</x:v>
      </x:c>
      <x:c r="J22" s="6" t="str">
        <x:v>Chưa có thiết kế pause/resume; giữ trong phạm vi.</x:v>
      </x:c>
      <x:c r="K22" s="6" t="str">
        <x:v>M4</x:v>
      </x:c>
    </x:row>
    <x:row r="23" ht="85" customHeight="1">
      <x:c r="A23" s="6" t="str">
        <x:v>4.3.1</x:v>
      </x:c>
      <x:c r="B23" s="6" t="str">
        <x:v>Mô-đun tài khoản và xác thực</x:v>
      </x:c>
      <x:c r="C23" s="6" t="str">
        <x:v>WP</x:v>
      </x:c>
      <x:c r="D23" s="13" t="n">
        <x:v>10</x:v>
      </x:c>
      <x:c r="E23" s="13" t="n">
        <x:v>14</x:v>
      </x:c>
      <x:c r="F23" s="13" t="n">
        <x:v>18</x:v>
      </x:c>
      <x:c r="G23" s="21" t="n">
        <x:f>SUM(D23:F23)/3</x:f>
        <x:v>14</x:v>
      </x:c>
      <x:c r="H23" s="6" t="str">
        <x:v>Việt Quang</x:v>
      </x:c>
      <x:c r="I23" s="6" t="str">
        <x:v>Toàn phạm vi B của gói; không tính nền tảng4.1 hoặc tích hợp5.1</x:v>
      </x:c>
      <x:c r="J23" s="6" t="str">
        <x:v>Identity framework sẵn có; nhóm auth O/M/P=4/6/8, bảo vệ3/4/5, test3/4/5. Phán đoán lập kế hoạch24/09, độ tin cậy trung bình.</x:v>
      </x:c>
      <x:c r="K23" s="6" t="str">
        <x:v>M2</x:v>
      </x:c>
    </x:row>
    <x:row r="24" ht="85" customHeight="1">
      <x:c r="A24" s="6" t="str">
        <x:v>4.3.2</x:v>
      </x:c>
      <x:c r="B24" s="6" t="str">
        <x:v>Mô-đun giấy phép và hạn mức</x:v>
      </x:c>
      <x:c r="C24" s="6" t="str">
        <x:v>WP</x:v>
      </x:c>
      <x:c r="D24" s="13" t="n">
        <x:v>16</x:v>
      </x:c>
      <x:c r="E24" s="13" t="n">
        <x:v>22</x:v>
      </x:c>
      <x:c r="F24" s="13" t="n">
        <x:v>34</x:v>
      </x:c>
      <x:c r="G24" s="21" t="n">
        <x:f>SUM(D24:F24)/3</x:f>
        <x:v>24</x:v>
      </x:c>
      <x:c r="H24" s="6" t="str">
        <x:v>Việt Quang</x:v>
      </x:c>
      <x:c r="I24" s="6" t="str">
        <x:v>Toàn phạm vi B; gồm phần thực thiB hợp đồngIF-CB-01, không lặp UI hỗ trợC hoặc tích hợp5.1</x:v>
      </x:c>
      <x:c r="J24" s="6" t="str">
        <x:v>Policy5/6/9; reservation và hỗ trợ7/10/15; ngoại lệUTC/TTL4/6/10. Đọc source/test24/09, độ tin cậy trung bình.</x:v>
      </x:c>
      <x:c r="K24" s="6" t="str">
        <x:v>M5</x:v>
      </x:c>
    </x:row>
    <x:row r="25" ht="85" customHeight="1">
      <x:c r="A25" s="6" t="str">
        <x:v>4.3.3</x:v>
      </x:c>
      <x:c r="B25" s="6" t="str">
        <x:v>Mô-đun thanh toán và gia hạn</x:v>
      </x:c>
      <x:c r="C25" s="6" t="str">
        <x:v>WP</x:v>
      </x:c>
      <x:c r="D25" s="13" t="n">
        <x:v>16</x:v>
      </x:c>
      <x:c r="E25" s="13" t="n">
        <x:v>24</x:v>
      </x:c>
      <x:c r="F25" s="13" t="n">
        <x:v>40</x:v>
      </x:c>
      <x:c r="G25" s="21" t="n">
        <x:f>SUM(D25:F25)/3</x:f>
        <x:v>26.666666666666668</x:v>
      </x:c>
      <x:c r="H25" s="6" t="str">
        <x:v>Việt Quang</x:v>
      </x:c>
      <x:c r="I25" s="6" t="str">
        <x:v>Toàn phạm vi: giả lập, event/retry, gia hạn/nhắc, adapter thật; không gồm hóa đơn/chỗ</x:v>
      </x:c>
      <x:c r="J25" s="6" t="str">
        <x:v>Event/fake/dedup5/7/11; adapter/callback7/11/19; gia hạn/nhắc4/6/10. Chưa biết nhà cung cấp, độ tin cậy thấp; thời gian chờ duyệt không tính thành giờ công.</x:v>
      </x:c>
      <x:c r="K25" s="6" t="str">
        <x:v>M6</x:v>
      </x:c>
    </x:row>
    <x:row r="26" ht="85" customHeight="1">
      <x:c r="A26" s="6" t="str">
        <x:v>4.3.4</x:v>
      </x:c>
      <x:c r="B26" s="6" t="str">
        <x:v>Trang quản lý thuê bao</x:v>
      </x:c>
      <x:c r="C26" s="6" t="str">
        <x:v>WP</x:v>
      </x:c>
      <x:c r="D26" s="13" t="n">
        <x:v>10</x:v>
      </x:c>
      <x:c r="E26" s="13" t="n">
        <x:v>14</x:v>
      </x:c>
      <x:c r="F26" s="13" t="n">
        <x:v>24</x:v>
      </x:c>
      <x:c r="G26" s="21" t="n">
        <x:f>SUM(D26:F26)/3</x:f>
        <x:v>16</x:v>
      </x:c>
      <x:c r="H26" s="6" t="str">
        <x:v>Việt Quang</x:v>
      </x:c>
      <x:c r="I26" s="6" t="str">
        <x:v>Toàn bộ UI thuê bao; không gồm logic hóa đơn/chỗ phía B</x:v>
      </x:c>
      <x:c r="J26" s="6" t="str">
        <x:v>UI auth/quyền3/4/6; mua/gia hạn4/6/10; hóa đơn/chỗ3/4/8. AccountPage có một phần; độ tin cậy thấp vì API invoice/seat còn PP.</x:v>
      </x:c>
      <x:c r="K26" s="6" t="str">
        <x:v>M6</x:v>
      </x:c>
    </x:row>
    <x:row r="27" ht="85" customHeight="1">
      <x:c r="A27" s="6" t="str">
        <x:v>4.3.5</x:v>
      </x:c>
      <x:c r="B27" s="6" t="str">
        <x:v>Hóa đơn Doanh nghiệp</x:v>
      </x:c>
      <x:c r="C27" s="6" t="str">
        <x:v>PP</x:v>
      </x:c>
      <x:c r="D27" s="13" t="n">
        <x:v>12</x:v>
      </x:c>
      <x:c r="E27" s="13" t="n">
        <x:v>20</x:v>
      </x:c>
      <x:c r="F27" s="13" t="n">
        <x:v>34</x:v>
      </x:c>
      <x:c r="G27" s="21" t="n">
        <x:f>SUM(D27:F27)/3</x:f>
        <x:v>22</x:v>
      </x:c>
      <x:c r="H27" s="6" t="str">
        <x:v>Việt Quang</x:v>
      </x:c>
      <x:c r="I27" s="6" t="str">
        <x:v>Invoice/entity/idempotency/quyền xem; UI thuộc4.3.4</x:v>
      </x:c>
      <x:c r="J27" s="6" t="str">
        <x:v>Chưa có Invoice/schema/provider; phán đoán cấp gói24/09, độ tin cậy thấp; xác minh quy tắc thuế và nguồn phát hành trước phân rã.</x:v>
      </x:c>
      <x:c r="K27" s="6" t="str">
        <x:v>M6</x:v>
      </x:c>
    </x:row>
    <x:row r="28" ht="85" customHeight="1">
      <x:c r="A28" s="6" t="str">
        <x:v>4.3.6</x:v>
      </x:c>
      <x:c r="B28" s="6" t="str">
        <x:v>Quản lý 5 chỗ Doanh nghiệp</x:v>
      </x:c>
      <x:c r="C28" s="6" t="str">
        <x:v>PP</x:v>
      </x:c>
      <x:c r="D28" s="13" t="n">
        <x:v>14</x:v>
      </x:c>
      <x:c r="E28" s="13" t="n">
        <x:v>24</x:v>
      </x:c>
      <x:c r="F28" s="13" t="n">
        <x:v>40</x:v>
      </x:c>
      <x:c r="G28" s="21" t="n">
        <x:f>SUM(D28:F28)/3</x:f>
        <x:v>26</x:v>
      </x:c>
      <x:c r="H28" s="6" t="str">
        <x:v>Việt Quang</x:v>
      </x:c>
      <x:c r="I28" s="6" t="str">
        <x:v>Seat/entity/permission/lifecycle; UI thuộc4.3.4</x:v>
      </x:c>
      <x:c r="J28" s="6" t="str">
        <x:v>Chưa có Seat; gồm owner/member/giới hạn5/thu hồi/hết hạn/concurrency; phán đoán cấp gói24/09, độ tin cậy thấp.</x:v>
      </x:c>
      <x:c r="K28" s="6" t="str">
        <x:v>M6</x:v>
      </x:c>
    </x:row>
    <x:row r="29" ht="85" customHeight="1">
      <x:c r="A29" s="6" t="str">
        <x:v>4.4.1</x:v>
      </x:c>
      <x:c r="B29" s="6" t="str">
        <x:v>Danh mục mẫu và tài sản đồ họa</x:v>
      </x:c>
      <x:c r="C29" s="6" t="str">
        <x:v>WP</x:v>
      </x:c>
      <x:c r="D29" s="13" t="n">
        <x:v>14</x:v>
      </x:c>
      <x:c r="E29" s="13" t="n">
        <x:v>20</x:v>
      </x:c>
      <x:c r="F29" s="13" t="n">
        <x:v>32</x:v>
      </x:c>
      <x:c r="G29" s="21" t="n">
        <x:f>SUM(D29:F29)/3</x:f>
        <x:v>22</x:v>
      </x:c>
      <x:c r="H29" s="6" t="str">
        <x:v>Quang Anh</x:v>
      </x:c>
      <x:c r="I29" s="6" t="str">
        <x:v>REQ-C-01,02,03; NF-C-02; phần mẫu NF-C-03</x:v>
      </x:c>
      <x:c r="J29" s="6" t="str">
        <x:v>Tái dùng list/status; bổ sung validator/version, upload ảnh, kiểm tham chiếu và kiểm thử của gói; tE=(O+M+P)/3.</x:v>
      </x:c>
      <x:c r="K29" s="6" t="str">
        <x:v>M3</x:v>
      </x:c>
    </x:row>
    <x:row r="30" ht="85" customHeight="1">
      <x:c r="A30" s="6" t="str">
        <x:v>4.4.2</x:v>
      </x:c>
      <x:c r="B30" s="6" t="str">
        <x:v>Hồ sơ hỗ trợ và giao tiếp điều chỉnh hạn mức</x:v>
      </x:c>
      <x:c r="C30" s="6" t="str">
        <x:v>PP</x:v>
      </x:c>
      <x:c r="D30" s="13" t="n">
        <x:v>10</x:v>
      </x:c>
      <x:c r="E30" s="13" t="n">
        <x:v>18</x:v>
      </x:c>
      <x:c r="F30" s="13" t="n">
        <x:v>32</x:v>
      </x:c>
      <x:c r="G30" s="21" t="n">
        <x:f>SUM(D30:F30)/3</x:f>
        <x:v>20</x:v>
      </x:c>
      <x:c r="H30" s="6" t="str">
        <x:v>Quang Anh</x:v>
      </x:c>
      <x:c r="I30" s="6" t="str">
        <x:v>REQ-C-04,05,09; phần quota NF-C-03</x:v>
      </x:c>
      <x:c r="J30" s="6" t="str">
        <x:v>Tra cứu, ticket và client adjustment; B sở hữu service giao dịch quota ở4.3.2, không tính lại. Phân rã DOC-02.</x:v>
      </x:c>
      <x:c r="K30" s="6" t="str">
        <x:v>M6</x:v>
      </x:c>
    </x:row>
    <x:row r="31" ht="85" customHeight="1">
      <x:c r="A31" s="6" t="str">
        <x:v>4.4.3</x:v>
      </x:c>
      <x:c r="B31" s="6" t="str">
        <x:v>Giám sát, health và dữ liệu đo lợi ích</x:v>
      </x:c>
      <x:c r="C31" s="6" t="str">
        <x:v>WP</x:v>
      </x:c>
      <x:c r="D31" s="13" t="n">
        <x:v>8</x:v>
      </x:c>
      <x:c r="E31" s="13" t="n">
        <x:v>12</x:v>
      </x:c>
      <x:c r="F31" s="13" t="n">
        <x:v>22</x:v>
      </x:c>
      <x:c r="G31" s="21" t="n">
        <x:f>SUM(D31:F31)/3</x:f>
        <x:v>14</x:v>
      </x:c>
      <x:c r="H31" s="6" t="str">
        <x:v>Quang Anh</x:v>
      </x:c>
      <x:c r="I31" s="6" t="str">
        <x:v>REQ-C-06,07,08; NF-C-01</x:v>
      </x:c>
      <x:c r="J31" s="6" t="str">
        <x:v>Có snapshot metrics/readiness; còn kỳ đo, failure fixture và nguồn LI. Không tính3nămvậnhành hoặc giả30ngàyuptime.</x:v>
      </x:c>
      <x:c r="K31" s="6" t="str">
        <x:v>M6</x:v>
      </x:c>
    </x:row>
    <x:row r="32" ht="85" customHeight="1">
      <x:c r="A32" s="6" t="str">
        <x:v>4.4.4</x:v>
      </x:c>
      <x:c r="B32" s="6" t="str">
        <x:v>Giao diện quản trị</x:v>
      </x:c>
      <x:c r="C32" s="6" t="str">
        <x:v>PP</x:v>
      </x:c>
      <x:c r="D32" s="13" t="n">
        <x:v>8</x:v>
      </x:c>
      <x:c r="E32" s="13" t="n">
        <x:v>14</x:v>
      </x:c>
      <x:c r="F32" s="13" t="n">
        <x:v>26</x:v>
      </x:c>
      <x:c r="G32" s="21" t="n">
        <x:f>SUM(D32:F32)/3</x:f>
        <x:v>16</x:v>
      </x:c>
      <x:c r="H32" s="6" t="str">
        <x:v>Quang Anh</x:v>
      </x:c>
      <x:c r="I32" s="6" t="str">
        <x:v>UI của REQ-C-01..09</x:v>
      </x:c>
      <x:c r="J32" s="6" t="str">
        <x:v>Ba khu vực mẫu, hỗ trợ,metrics với quyền/loading/lỗi. Phân rã sau schema tại DOC-02.</x:v>
      </x:c>
      <x:c r="K32" s="6" t="str">
        <x:v>M6</x:v>
      </x:c>
    </x:row>
    <x:row r="33" ht="85" customHeight="1">
      <x:c r="A33" s="6" t="str">
        <x:v>5.1</x:v>
      </x:c>
      <x:c r="B33" s="6" t="str">
        <x:v>Bản tích hợp A–B–C và bằng chứng</x:v>
      </x:c>
      <x:c r="C33" s="6" t="str">
        <x:v>WP</x:v>
      </x:c>
      <x:c r="D33" s="13" t="n">
        <x:v>11</x:v>
      </x:c>
      <x:c r="E33" s="13" t="n">
        <x:v>14</x:v>
      </x:c>
      <x:c r="F33" s="13" t="n">
        <x:v>24</x:v>
      </x:c>
      <x:c r="G33" s="21" t="n">
        <x:f>SUM(D33:F33)/3</x:f>
        <x:v>16.333333333333332</x:v>
      </x:c>
      <x:c r="H33" s="6" t="str">
        <x:v>Chiến</x:v>
      </x:c>
      <x:c r="I33" s="6" t="str">
        <x:v>Toàn phạm vi Charter v2.1</x:v>
      </x:c>
      <x:c r="J33" s="6" t="str">
        <x:v>TC-I, HAR, kiểm trên trình duyệt; thử máy chủ thật phụ thuộc Docker.</x:v>
      </x:c>
      <x:c r="K33" s="6" t="str">
        <x:v>DOC-03</x:v>
      </x:c>
    </x:row>
    <x:row r="34" ht="85" customHeight="1">
      <x:c r="A34" s="6" t="str">
        <x:v>5.2</x:v>
      </x:c>
      <x:c r="B34" s="6" t="str">
        <x:v>Báo cáo hiệu năng và tính xác định</x:v>
      </x:c>
      <x:c r="C34" s="6" t="str">
        <x:v>PP</x:v>
      </x:c>
      <x:c r="D34" s="13" t="n">
        <x:v>16</x:v>
      </x:c>
      <x:c r="E34" s="13" t="n">
        <x:v>24</x:v>
      </x:c>
      <x:c r="F34" s="13" t="n">
        <x:v>44</x:v>
      </x:c>
      <x:c r="G34" s="21" t="n">
        <x:f>SUM(D34:F34)/3</x:f>
        <x:v>28</x:v>
      </x:c>
      <x:c r="H34" s="6" t="str">
        <x:v>Chiến</x:v>
      </x:c>
      <x:c r="I34" s="6" t="str">
        <x:v>Toàn phạm vi Charter v2.1</x:v>
      </x:c>
      <x:c r="J34" s="6" t="str">
        <x:v>1080p, bộ nhớ×10, checksum3máy; cần máy tham chiếu.</x:v>
      </x:c>
      <x:c r="K34" s="6" t="str">
        <x:v>M4</x:v>
      </x:c>
    </x:row>
    <x:row r="35" ht="85" customHeight="1">
      <x:c r="A35" s="6" t="str">
        <x:v>5.3</x:v>
      </x:c>
      <x:c r="B35" s="6" t="str">
        <x:v>Báo cáo độ tin cậy, tiếng Việt và dễ dùng</x:v>
      </x:c>
      <x:c r="C35" s="6" t="str">
        <x:v>PP</x:v>
      </x:c>
      <x:c r="D35" s="13" t="n">
        <x:v>12</x:v>
      </x:c>
      <x:c r="E35" s="13" t="n">
        <x:v>18</x:v>
      </x:c>
      <x:c r="F35" s="13" t="n">
        <x:v>32</x:v>
      </x:c>
      <x:c r="G35" s="21" t="n">
        <x:f>SUM(D35:F35)/3</x:f>
        <x:v>20.666666666666668</x:v>
      </x:c>
      <x:c r="H35" s="6" t="str">
        <x:v>Chiến</x:v>
      </x:c>
      <x:c r="I35" s="6" t="str">
        <x:v>Toàn phạm vi Charter v2.1</x:v>
      </x:c>
      <x:c r="J35" s="6" t="str">
        <x:v>134tổ hợp,100lần xuất,10người thử; chưa có lịch tuyển.</x:v>
      </x:c>
      <x:c r="K35" s="6" t="str">
        <x:v>M6</x:v>
      </x:c>
    </x:row>
    <x:row r="36" ht="85" customHeight="1">
      <x:c r="A36" s="6" t="str">
        <x:v>6.1</x:v>
      </x:c>
      <x:c r="B36" s="6" t="str">
        <x:v>Bản phát hành production</x:v>
      </x:c>
      <x:c r="C36" s="6" t="str">
        <x:v>PP</x:v>
      </x:c>
      <x:c r="D36" s="13" t="n">
        <x:v>12</x:v>
      </x:c>
      <x:c r="E36" s="13" t="n">
        <x:v>20</x:v>
      </x:c>
      <x:c r="F36" s="13" t="n">
        <x:v>28</x:v>
      </x:c>
      <x:c r="G36" s="21" t="n">
        <x:f>SUM(D36:F36)/3</x:f>
        <x:v>20</x:v>
      </x:c>
      <x:c r="H36" s="6" t="str">
        <x:v>Quang Anh</x:v>
      </x:c>
      <x:c r="I36" s="6" t="str">
        <x:v>Toàn phạm vi Charter v2.1</x:v>
      </x:c>
      <x:c r="J36" s="6" t="str">
        <x:v>HTTPS, migration, backup/restore, rollback và triển khai; không thay bằng demo.</x:v>
      </x:c>
      <x:c r="K36" s="6" t="str">
        <x:v>M6</x:v>
      </x:c>
    </x:row>
    <x:row r="37" ht="85" customHeight="1">
      <x:c r="A37" s="6" t="str">
        <x:v>6.2</x:v>
      </x:c>
      <x:c r="B37" s="6" t="str">
        <x:v>Gói demo và hướng dẫn sử dụng</x:v>
      </x:c>
      <x:c r="C37" s="6" t="str">
        <x:v>WP</x:v>
      </x:c>
      <x:c r="D37" s="13" t="n">
        <x:v>6</x:v>
      </x:c>
      <x:c r="E37" s="13" t="n">
        <x:v>10</x:v>
      </x:c>
      <x:c r="F37" s="13" t="n">
        <x:v>14</x:v>
      </x:c>
      <x:c r="G37" s="21" t="n">
        <x:f>SUM(D37:F37)/3</x:f>
        <x:v>10</x:v>
      </x:c>
      <x:c r="H37" s="6" t="str">
        <x:v>Quang Anh</x:v>
      </x:c>
      <x:c r="I37" s="6" t="str">
        <x:v>Toàn phạm vi Charter v2.1</x:v>
      </x:c>
      <x:c r="J37" s="6" t="str">
        <x:v>Kịch bản, seed, hướng dẫn cài/chạy và xử lý sự cố.</x:v>
      </x:c>
      <x:c r="K37" s="6" t="str">
        <x:v>DOC-04</x:v>
      </x:c>
    </x:row>
    <x:row r="38" ht="85" customHeight="1">
      <x:c r="A38" s="6" t="str">
        <x:v>6.3</x:v>
      </x:c>
      <x:c r="B38" s="6" t="str">
        <x:v>Hồ sơ kết thúc và bài trình bày</x:v>
      </x:c>
      <x:c r="C38" s="6" t="str">
        <x:v>WP</x:v>
      </x:c>
      <x:c r="D38" s="13" t="n">
        <x:v>8</x:v>
      </x:c>
      <x:c r="E38" s="13" t="n">
        <x:v>12</x:v>
      </x:c>
      <x:c r="F38" s="13" t="n">
        <x:v>16</x:v>
      </x:c>
      <x:c r="G38" s="21" t="n">
        <x:f>SUM(D38:F38)/3</x:f>
        <x:v>12</x:v>
      </x:c>
      <x:c r="H38" s="6" t="str">
        <x:v>Quang Anh</x:v>
      </x:c>
      <x:c r="I38" s="6" t="str">
        <x:v>Toàn phạm vi Charter v2.1</x:v>
      </x:c>
      <x:c r="J38" s="6" t="str">
        <x:v>Final snapshot, bài học, mục lục bàn giao, nội dung slide.</x:v>
      </x:c>
      <x:c r="K38" s="6" t="str">
        <x:v>DOC-05</x:v>
      </x:c>
    </x:row>
    <x:row r="39" ht="85" customHeight="1">
      <x:c r="A39" s="6" t="str">
        <x:v>6.4</x:v>
      </x:c>
      <x:c r="B39" s="6" t="str">
        <x:v>Biên bản nghiệm thu sản phẩm</x:v>
      </x:c>
      <x:c r="C39" s="6" t="str">
        <x:v>PP</x:v>
      </x:c>
      <x:c r="D39" s="13" t="n">
        <x:v>6</x:v>
      </x:c>
      <x:c r="E39" s="13" t="n">
        <x:v>8</x:v>
      </x:c>
      <x:c r="F39" s="13" t="n">
        <x:v>10</x:v>
      </x:c>
      <x:c r="G39" s="21" t="n">
        <x:f>SUM(D39:F39)/3</x:f>
        <x:v>8</x:v>
      </x:c>
      <x:c r="H39" s="6" t="str">
        <x:v>Chiến</x:v>
      </x:c>
      <x:c r="I39" s="6" t="str">
        <x:v>Toàn phạm vi Charter v2.1</x:v>
      </x:c>
      <x:c r="J39" s="6" t="str">
        <x:v>Control Quality → Validate Scope → Close; chưa ký thay sponsor.</x:v>
      </x:c>
      <x:c r="K39" s="6" t="str">
        <x:v>M7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3" hidden="0" customWidth="1"/>
    <x:col min="4" max="4" width="17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16" hidden="0" customWidth="1"/>
    <x:col min="12" max="12" width="19" hidden="0" customWidth="1"/>
    <x:col min="13" max="13" width="19" hidden="0" customWidth="1"/>
    <x:col min="14" max="14" width="20" hidden="0" customWidth="1"/>
    <x:col min="15" max="15" width="25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>
      <x:c r="A2" s="15" t="str">
        <x:v>P10 — CPM và lịch có ràng buộc nguồn lực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>
      <x:c r="A3" s="14" t="str">
        <x:v>Dự thảo 24/09/2026. Thiếu xác nhận độc lập hoặc nghiệm thu sản phẩm.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>
      <x:c r="A4" s="16" t="str">
        <x:v>Nguồn: A_01/A_02, B_01/B_02, C_01/C_02 và bộ quyết định thống nhất ngày 24/09/2026.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</x:row>
    <x:row r="5">
      <x:c r="A5" s="14" t="str">
        <x:v>Đơn vị là ngày làm việc kể từ forecast start. CPM bỏ qua tranh chấp nhân lực; lịch san bằng bổ sung chờ cùng người theo thứ tự topo.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</x:row>
    <x:row r="7" ht="40" customHeight="1">
      <x:c r="A7" s="20" t="str">
        <x:v>Hoạt động</x:v>
      </x:c>
      <x:c r="B7" s="20" t="str">
        <x:v>Chủ</x:v>
      </x:c>
      <x:c r="C7" s="20" t="str">
        <x:v>Giờ công</x:v>
      </x:c>
      <x:c r="D7" s="20" t="str">
        <x:v>Thời lượng (ngày)</x:v>
      </x:c>
      <x:c r="E7" s="20" t="str">
        <x:v>ES</x:v>
      </x:c>
      <x:c r="F7" s="20" t="str">
        <x:v>EF</x:v>
      </x:c>
      <x:c r="G7" s="20" t="str">
        <x:v>LS</x:v>
      </x:c>
      <x:c r="H7" s="20" t="str">
        <x:v>LF</x:v>
      </x:c>
      <x:c r="I7" s="20" t="str">
        <x:v>Total float</x:v>
      </x:c>
      <x:c r="J7" s="20" t="str">
        <x:v>Free float</x:v>
      </x:c>
      <x:c r="K7" s="20" t="str">
        <x:v>Găng CPM</x:v>
      </x:c>
      <x:c r="L7" s="20" t="str">
        <x:v>Bắt đầu san bằng</x:v>
      </x:c>
      <x:c r="M7" s="20" t="str">
        <x:v>Kết thúc san bằng</x:v>
      </x:c>
      <x:c r="N7" s="20" t="str">
        <x:v>Chờ nguồn lực (ngày)</x:v>
      </x:c>
      <x:c r="O7" s="20" t="str">
        <x:v>Trước cùng người</x:v>
      </x:c>
    </x:row>
    <x:row r="8" ht="40" customHeight="1">
      <x:c r="A8" s="6" t="str">
        <x:v>ACT-1.1-01</x:v>
      </x:c>
      <x:c r="B8" s="6" t="str">
        <x:v>Chiến</x:v>
      </x:c>
      <x:c r="C8" s="21" t="n">
        <x:f>'Activities'!D8</x:f>
        <x:v>23</x:v>
      </x:c>
      <x:c r="D8" s="21" t="n">
        <x:f>C8/'Calendar'!$B$7</x:f>
        <x:v>11.5</x:v>
      </x:c>
      <x:c r="E8" s="21" t="n">
        <x:f>0</x:f>
        <x:v>0</x:v>
      </x:c>
      <x:c r="F8" s="21" t="n">
        <x:f>E8+D8</x:f>
        <x:v>11.5</x:v>
      </x:c>
      <x:c r="G8" s="21" t="n">
        <x:f>H8-D8</x:f>
        <x:v>-7.105427357601002e-15</x:v>
      </x:c>
      <x:c r="H8" s="21" t="n">
        <x:f>MIN(G9)</x:f>
        <x:v>11.499999999999993</x:v>
      </x:c>
      <x:c r="I8" s="21" t="n">
        <x:f>G8-E8</x:f>
        <x:v>-7.105427357601002e-15</x:v>
      </x:c>
      <x:c r="J8" s="21" t="n">
        <x:f>MIN(E9)-F8</x:f>
        <x:v>0</x:v>
      </x:c>
      <x:c r="K8" s="21" t="str">
        <x:f>IF(ABS(I8)&lt;0.000001,"Có","Không")</x:f>
        <x:v>Có</x:v>
      </x:c>
      <x:c r="L8" s="21" t="n">
        <x:f>0</x:f>
        <x:v>0</x:v>
      </x:c>
      <x:c r="M8" s="21" t="n">
        <x:f>L8+D8</x:f>
        <x:v>11.5</x:v>
      </x:c>
      <x:c r="N8" s="21" t="n">
        <x:f>L8-E8</x:f>
        <x:v>0</x:v>
      </x:c>
      <x:c r="O8" s="6" t="str"/>
    </x:row>
    <x:row r="9" ht="40" customHeight="1">
      <x:c r="A9" s="6" t="str">
        <x:v>ACT-2.1-01</x:v>
      </x:c>
      <x:c r="B9" s="6" t="str">
        <x:v>Chiến</x:v>
      </x:c>
      <x:c r="C9" s="21" t="n">
        <x:f>'Activities'!D9</x:f>
        <x:v>12</x:v>
      </x:c>
      <x:c r="D9" s="21" t="n">
        <x:f>C9/'Calendar'!$B$7</x:f>
        <x:v>6</x:v>
      </x:c>
      <x:c r="E9" s="21" t="n">
        <x:f>MAX(F8)</x:f>
        <x:v>11.5</x:v>
      </x:c>
      <x:c r="F9" s="21" t="n">
        <x:f>E9+D9</x:f>
        <x:v>17.5</x:v>
      </x:c>
      <x:c r="G9" s="21" t="n">
        <x:f>H9-D9</x:f>
        <x:v>11.499999999999993</x:v>
      </x:c>
      <x:c r="H9" s="21" t="n">
        <x:f>MIN(G10,G11,G15,G17)</x:f>
        <x:v>17.499999999999993</x:v>
      </x:c>
      <x:c r="I9" s="21" t="n">
        <x:f>G9-E9</x:f>
        <x:v>-7.105427357601002e-15</x:v>
      </x:c>
      <x:c r="J9" s="21" t="n">
        <x:f>MIN(E10,E11,E15,E17)-F9</x:f>
        <x:v>0</x:v>
      </x:c>
      <x:c r="K9" s="21" t="str">
        <x:f>IF(ABS(I9)&lt;0.000001,"Có","Không")</x:f>
        <x:v>Có</x:v>
      </x:c>
      <x:c r="L9" s="21" t="n">
        <x:f>MAX(M8,M8)</x:f>
        <x:v>11.5</x:v>
      </x:c>
      <x:c r="M9" s="21" t="n">
        <x:f>L9+D9</x:f>
        <x:v>17.5</x:v>
      </x:c>
      <x:c r="N9" s="21" t="n">
        <x:f>L9-E9</x:f>
        <x:v>0</x:v>
      </x:c>
      <x:c r="O9" s="6" t="str">
        <x:v>ACT-1.1-01</x:v>
      </x:c>
    </x:row>
    <x:row r="10" ht="40" customHeight="1">
      <x:c r="A10" s="6" t="str">
        <x:v>ACT-3.1-01</x:v>
      </x:c>
      <x:c r="B10" s="6" t="str">
        <x:v>Chiến</x:v>
      </x:c>
      <x:c r="C10" s="21" t="n">
        <x:f>'Activities'!D10</x:f>
        <x:v>10</x:v>
      </x:c>
      <x:c r="D10" s="21" t="n">
        <x:f>C10/'Calendar'!$B$7</x:f>
        <x:v>5</x:v>
      </x:c>
      <x:c r="E10" s="21" t="n">
        <x:f>MAX(F9)</x:f>
        <x:v>17.5</x:v>
      </x:c>
      <x:c r="F10" s="21" t="n">
        <x:f>E10+D10</x:f>
        <x:v>22.5</x:v>
      </x:c>
      <x:c r="G10" s="21" t="n">
        <x:f>H10-D10</x:f>
        <x:v>25.166666666666657</x:v>
      </x:c>
      <x:c r="H10" s="21" t="n">
        <x:f>MIN(G14,G18)</x:f>
        <x:v>30.166666666666657</x:v>
      </x:c>
      <x:c r="I10" s="21" t="n">
        <x:f>G10-E10</x:f>
        <x:v>7.666666666666657</x:v>
      </x:c>
      <x:c r="J10" s="21" t="n">
        <x:f>MIN(E14,E18)-F10</x:f>
        <x:v>0</x:v>
      </x:c>
      <x:c r="K10" s="21" t="str">
        <x:f>IF(ABS(I10)&lt;0.000001,"Có","Không")</x:f>
        <x:v>Không</x:v>
      </x:c>
      <x:c r="L10" s="21" t="n">
        <x:f>MAX(M9,M9)</x:f>
        <x:v>17.5</x:v>
      </x:c>
      <x:c r="M10" s="21" t="n">
        <x:f>L10+D10</x:f>
        <x:v>22.5</x:v>
      </x:c>
      <x:c r="N10" s="21" t="n">
        <x:f>L10-E10</x:f>
        <x:v>0</x:v>
      </x:c>
      <x:c r="O10" s="6" t="str">
        <x:v>ACT-2.1-01</x:v>
      </x:c>
    </x:row>
    <x:row r="11" ht="40" customHeight="1">
      <x:c r="A11" s="6" t="str">
        <x:v>ACT-3.2-01</x:v>
      </x:c>
      <x:c r="B11" s="6" t="str">
        <x:v>Chiến</x:v>
      </x:c>
      <x:c r="C11" s="21" t="n">
        <x:f>'Activities'!D11</x:f>
        <x:v>23.333333333333332</x:v>
      </x:c>
      <x:c r="D11" s="21" t="n">
        <x:f>C11/'Calendar'!$B$7</x:f>
        <x:v>11.666666666666666</x:v>
      </x:c>
      <x:c r="E11" s="21" t="n">
        <x:f>MAX(F9)</x:f>
        <x:v>17.5</x:v>
      </x:c>
      <x:c r="F11" s="21" t="n">
        <x:f>E11+D11</x:f>
        <x:v>29.166666666666664</x:v>
      </x:c>
      <x:c r="G11" s="21" t="n">
        <x:f>H11-D11</x:f>
        <x:v>17.499999999999993</x:v>
      </x:c>
      <x:c r="H11" s="21" t="n">
        <x:f>MIN(G12,G15,G17,G19,G21,G33,G38)</x:f>
        <x:v>29.166666666666657</x:v>
      </x:c>
      <x:c r="I11" s="21" t="n">
        <x:f>G11-E11</x:f>
        <x:v>-7.105427357601002e-15</x:v>
      </x:c>
      <x:c r="J11" s="21" t="n">
        <x:f>MIN(E12,E15,E17,E19,E21,E33,E38)-F11</x:f>
        <x:v>0</x:v>
      </x:c>
      <x:c r="K11" s="21" t="str">
        <x:f>IF(ABS(I11)&lt;0.000001,"Có","Không")</x:f>
        <x:v>Có</x:v>
      </x:c>
      <x:c r="L11" s="21" t="n">
        <x:f>MAX(M9,M10)</x:f>
        <x:v>22.5</x:v>
      </x:c>
      <x:c r="M11" s="21" t="n">
        <x:f>L11+D11</x:f>
        <x:v>34.166666666666664</x:v>
      </x:c>
      <x:c r="N11" s="21" t="n">
        <x:f>L11-E11</x:f>
        <x:v>5</x:v>
      </x:c>
      <x:c r="O11" s="6" t="str">
        <x:v>ACT-3.1-01</x:v>
      </x:c>
    </x:row>
    <x:row r="12" ht="40" customHeight="1">
      <x:c r="A12" s="6" t="str">
        <x:v>ACT-4.2.3-01</x:v>
      </x:c>
      <x:c r="B12" s="6" t="str">
        <x:v>Chiến</x:v>
      </x:c>
      <x:c r="C12" s="21" t="n">
        <x:f>'Activities'!D12</x:f>
        <x:v>24.666666666666668</x:v>
      </x:c>
      <x:c r="D12" s="21" t="n">
        <x:f>C12/'Calendar'!$B$7</x:f>
        <x:v>12.333333333333334</x:v>
      </x:c>
      <x:c r="E12" s="21" t="n">
        <x:f>MAX(F11)</x:f>
        <x:v>29.166666666666664</x:v>
      </x:c>
      <x:c r="F12" s="21" t="n">
        <x:f>E12+D12</x:f>
        <x:v>41.5</x:v>
      </x:c>
      <x:c r="G12" s="21" t="n">
        <x:f>H12-D12</x:f>
        <x:v>29.166666666666657</x:v>
      </x:c>
      <x:c r="H12" s="21" t="n">
        <x:f>MIN(G13,G14)</x:f>
        <x:v>41.49999999999999</x:v>
      </x:c>
      <x:c r="I12" s="21" t="n">
        <x:f>G12-E12</x:f>
        <x:v>-7.105427357601002e-15</x:v>
      </x:c>
      <x:c r="J12" s="21" t="n">
        <x:f>MIN(E13,E14)-F12</x:f>
        <x:v>0</x:v>
      </x:c>
      <x:c r="K12" s="21" t="str">
        <x:f>IF(ABS(I12)&lt;0.000001,"Có","Không")</x:f>
        <x:v>Có</x:v>
      </x:c>
      <x:c r="L12" s="21" t="n">
        <x:f>MAX(M11,M11)</x:f>
        <x:v>34.166666666666664</x:v>
      </x:c>
      <x:c r="M12" s="21" t="n">
        <x:f>L12+D12</x:f>
        <x:v>46.5</x:v>
      </x:c>
      <x:c r="N12" s="21" t="n">
        <x:f>L12-E12</x:f>
        <x:v>5</x:v>
      </x:c>
      <x:c r="O12" s="6" t="str">
        <x:v>ACT-3.2-01</x:v>
      </x:c>
    </x:row>
    <x:row r="13" ht="40" customHeight="1">
      <x:c r="A13" s="6" t="str">
        <x:v>ACT-4.2.2-01</x:v>
      </x:c>
      <x:c r="B13" s="6" t="str">
        <x:v>Chiến</x:v>
      </x:c>
      <x:c r="C13" s="21" t="n">
        <x:f>'Activities'!D13</x:f>
        <x:v>13.333333333333334</x:v>
      </x:c>
      <x:c r="D13" s="21" t="n">
        <x:f>C13/'Calendar'!$B$7</x:f>
        <x:v>6.666666666666667</x:v>
      </x:c>
      <x:c r="E13" s="21" t="n">
        <x:f>MAX(F12)</x:f>
        <x:v>41.5</x:v>
      </x:c>
      <x:c r="F13" s="21" t="n">
        <x:f>E13+D13</x:f>
        <x:v>48.166666666666664</x:v>
      </x:c>
      <x:c r="G13" s="21" t="n">
        <x:f>H13-D13</x:f>
        <x:v>76.83333333333333</x:v>
      </x:c>
      <x:c r="H13" s="21" t="n">
        <x:f>MAX($F$8:$F$42)</x:f>
        <x:v>83.5</x:v>
      </x:c>
      <x:c r="I13" s="21" t="n">
        <x:f>G13-E13</x:f>
        <x:v>35.33333333333333</x:v>
      </x:c>
      <x:c r="J13" s="21" t="n">
        <x:f>MAX($F$8:$F$42)-F13</x:f>
        <x:v>35.333333333333336</x:v>
      </x:c>
      <x:c r="K13" s="21" t="str">
        <x:f>IF(ABS(I13)&lt;0.000001,"Có","Không")</x:f>
        <x:v>Không</x:v>
      </x:c>
      <x:c r="L13" s="21" t="n">
        <x:f>MAX(M12,M12)</x:f>
        <x:v>46.5</x:v>
      </x:c>
      <x:c r="M13" s="21" t="n">
        <x:f>L13+D13</x:f>
        <x:v>53.166666666666664</x:v>
      </x:c>
      <x:c r="N13" s="21" t="n">
        <x:f>L13-E13</x:f>
        <x:v>5</x:v>
      </x:c>
      <x:c r="O13" s="6" t="str">
        <x:v>ACT-4.2.3-01</x:v>
      </x:c>
    </x:row>
    <x:row r="14" ht="40" customHeight="1">
      <x:c r="A14" s="6" t="str">
        <x:v>ACT-4.2.4-01</x:v>
      </x:c>
      <x:c r="B14" s="6" t="str">
        <x:v>Chiến</x:v>
      </x:c>
      <x:c r="C14" s="21" t="n">
        <x:f>'Activities'!D14</x:f>
        <x:v>22</x:v>
      </x:c>
      <x:c r="D14" s="21" t="n">
        <x:f>C14/'Calendar'!$B$7</x:f>
        <x:v>11</x:v>
      </x:c>
      <x:c r="E14" s="21" t="n">
        <x:f>MAX(F10,F12)</x:f>
        <x:v>41.5</x:v>
      </x:c>
      <x:c r="F14" s="21" t="n">
        <x:f>E14+D14</x:f>
        <x:v>52.5</x:v>
      </x:c>
      <x:c r="G14" s="21" t="n">
        <x:f>H14-D14</x:f>
        <x:v>41.49999999999999</x:v>
      </x:c>
      <x:c r="H14" s="21" t="n">
        <x:f>MIN(G34)</x:f>
        <x:v>52.49999999999999</x:v>
      </x:c>
      <x:c r="I14" s="21" t="n">
        <x:f>G14-E14</x:f>
        <x:v>-7.105427357601002e-15</x:v>
      </x:c>
      <x:c r="J14" s="21" t="n">
        <x:f>MIN(E34)-F14</x:f>
        <x:v>0</x:v>
      </x:c>
      <x:c r="K14" s="21" t="str">
        <x:f>IF(ABS(I14)&lt;0.000001,"Có","Không")</x:f>
        <x:v>Có</x:v>
      </x:c>
      <x:c r="L14" s="21" t="n">
        <x:f>MAX(M10,M12,M13)</x:f>
        <x:v>53.166666666666664</x:v>
      </x:c>
      <x:c r="M14" s="21" t="n">
        <x:f>L14+D14</x:f>
        <x:v>64.16666666666666</x:v>
      </x:c>
      <x:c r="N14" s="21" t="n">
        <x:f>L14-E14</x:f>
        <x:v>11.666666666666664</x:v>
      </x:c>
      <x:c r="O14" s="6" t="str">
        <x:v>ACT-4.2.2-01</x:v>
      </x:c>
    </x:row>
    <x:row r="15" ht="40" customHeight="1">
      <x:c r="A15" s="6" t="str">
        <x:v>ACT-1.2-01</x:v>
      </x:c>
      <x:c r="B15" s="6" t="str">
        <x:v>Chiến</x:v>
      </x:c>
      <x:c r="C15" s="21" t="n">
        <x:f>'Activities'!D15</x:f>
        <x:v>28</x:v>
      </x:c>
      <x:c r="D15" s="21" t="n">
        <x:f>C15/'Calendar'!$B$7</x:f>
        <x:v>14</x:v>
      </x:c>
      <x:c r="E15" s="21" t="n">
        <x:f>MAX(F9,F11)</x:f>
        <x:v>29.166666666666664</x:v>
      </x:c>
      <x:c r="F15" s="21" t="n">
        <x:f>E15+D15</x:f>
        <x:v>43.166666666666664</x:v>
      </x:c>
      <x:c r="G15" s="21" t="n">
        <x:f>H15-D15</x:f>
        <x:v>55.5</x:v>
      </x:c>
      <x:c r="H15" s="21" t="n">
        <x:f>MIN(G16)</x:f>
        <x:v>69.5</x:v>
      </x:c>
      <x:c r="I15" s="21" t="n">
        <x:f>G15-E15</x:f>
        <x:v>26.333333333333336</x:v>
      </x:c>
      <x:c r="J15" s="21" t="n">
        <x:f>MIN(E16)-F15</x:f>
        <x:v>0</x:v>
      </x:c>
      <x:c r="K15" s="21" t="str">
        <x:f>IF(ABS(I15)&lt;0.000001,"Có","Không")</x:f>
        <x:v>Không</x:v>
      </x:c>
      <x:c r="L15" s="21" t="n">
        <x:f>MAX(M9,M11,M14)</x:f>
        <x:v>64.16666666666666</x:v>
      </x:c>
      <x:c r="M15" s="21" t="n">
        <x:f>L15+D15</x:f>
        <x:v>78.16666666666666</x:v>
      </x:c>
      <x:c r="N15" s="21" t="n">
        <x:f>L15-E15</x:f>
        <x:v>34.99999999999999</x:v>
      </x:c>
      <x:c r="O15" s="6" t="str">
        <x:v>ACT-4.2.4-01</x:v>
      </x:c>
    </x:row>
    <x:row r="16" ht="40" customHeight="1">
      <x:c r="A16" s="6" t="str">
        <x:v>ACT-1.3-01</x:v>
      </x:c>
      <x:c r="B16" s="6" t="str">
        <x:v>Việt Quang</x:v>
      </x:c>
      <x:c r="C16" s="21" t="n">
        <x:f>'Activities'!D16</x:f>
        <x:v>16</x:v>
      </x:c>
      <x:c r="D16" s="21" t="n">
        <x:f>C16/'Calendar'!$B$7</x:f>
        <x:v>8</x:v>
      </x:c>
      <x:c r="E16" s="21" t="n">
        <x:f>MAX(F15)</x:f>
        <x:v>43.166666666666664</x:v>
      </x:c>
      <x:c r="F16" s="21" t="n">
        <x:f>E16+D16</x:f>
        <x:v>51.166666666666664</x:v>
      </x:c>
      <x:c r="G16" s="21" t="n">
        <x:f>H16-D16</x:f>
        <x:v>69.5</x:v>
      </x:c>
      <x:c r="H16" s="21" t="n">
        <x:f>MIN(G42)</x:f>
        <x:v>77.5</x:v>
      </x:c>
      <x:c r="I16" s="21" t="n">
        <x:f>G16-E16</x:f>
        <x:v>26.333333333333336</x:v>
      </x:c>
      <x:c r="J16" s="21" t="n">
        <x:f>MIN(E42)-F16</x:f>
        <x:v>26.333333333333336</x:v>
      </x:c>
      <x:c r="K16" s="21" t="str">
        <x:f>IF(ABS(I16)&lt;0.000001,"Có","Không")</x:f>
        <x:v>Không</x:v>
      </x:c>
      <x:c r="L16" s="21" t="n">
        <x:f>MAX(M15)</x:f>
        <x:v>78.16666666666666</x:v>
      </x:c>
      <x:c r="M16" s="21" t="n">
        <x:f>L16+D16</x:f>
        <x:v>86.16666666666666</x:v>
      </x:c>
      <x:c r="N16" s="21" t="n">
        <x:f>L16-E16</x:f>
        <x:v>34.99999999999999</x:v>
      </x:c>
      <x:c r="O16" s="6" t="str"/>
    </x:row>
    <x:row r="17" ht="40" customHeight="1">
      <x:c r="A17" s="6" t="str">
        <x:v>ACT-2.2-01</x:v>
      </x:c>
      <x:c r="B17" s="6" t="str">
        <x:v>Chiến</x:v>
      </x:c>
      <x:c r="C17" s="21" t="n">
        <x:f>'Activities'!D17</x:f>
        <x:v>8</x:v>
      </x:c>
      <x:c r="D17" s="21" t="n">
        <x:f>C17/'Calendar'!$B$7</x:f>
        <x:v>4</x:v>
      </x:c>
      <x:c r="E17" s="21" t="n">
        <x:f>MAX(F9,F11)</x:f>
        <x:v>29.166666666666664</x:v>
      </x:c>
      <x:c r="F17" s="21" t="n">
        <x:f>E17+D17</x:f>
        <x:v>33.166666666666664</x:v>
      </x:c>
      <x:c r="G17" s="21" t="n">
        <x:f>H17-D17</x:f>
        <x:v>79.5</x:v>
      </x:c>
      <x:c r="H17" s="21" t="n">
        <x:f>MAX($F$8:$F$42)</x:f>
        <x:v>83.5</x:v>
      </x:c>
      <x:c r="I17" s="21" t="n">
        <x:f>G17-E17</x:f>
        <x:v>50.333333333333336</x:v>
      </x:c>
      <x:c r="J17" s="21" t="n">
        <x:f>MAX($F$8:$F$42)-F17</x:f>
        <x:v>50.333333333333336</x:v>
      </x:c>
      <x:c r="K17" s="21" t="str">
        <x:f>IF(ABS(I17)&lt;0.000001,"Có","Không")</x:f>
        <x:v>Không</x:v>
      </x:c>
      <x:c r="L17" s="21" t="n">
        <x:f>MAX(M9,M11,M15)</x:f>
        <x:v>78.16666666666666</x:v>
      </x:c>
      <x:c r="M17" s="21" t="n">
        <x:f>L17+D17</x:f>
        <x:v>82.16666666666666</x:v>
      </x:c>
      <x:c r="N17" s="21" t="n">
        <x:f>L17-E17</x:f>
        <x:v>48.99999999999999</x:v>
      </x:c>
      <x:c r="O17" s="6" t="str">
        <x:v>ACT-1.2-01</x:v>
      </x:c>
    </x:row>
    <x:row r="18" ht="40" customHeight="1">
      <x:c r="A18" s="6" t="str">
        <x:v>ACT-4.1-01</x:v>
      </x:c>
      <x:c r="B18" s="6" t="str">
        <x:v>Việt Quang</x:v>
      </x:c>
      <x:c r="C18" s="21" t="n">
        <x:f>'Activities'!D18</x:f>
        <x:v>24</x:v>
      </x:c>
      <x:c r="D18" s="21" t="n">
        <x:f>C18/'Calendar'!$B$7</x:f>
        <x:v>12</x:v>
      </x:c>
      <x:c r="E18" s="21" t="n">
        <x:f>MAX(F10)</x:f>
        <x:v>22.5</x:v>
      </x:c>
      <x:c r="F18" s="21" t="n">
        <x:f>E18+D18</x:f>
        <x:v>34.5</x:v>
      </x:c>
      <x:c r="G18" s="21" t="n">
        <x:f>H18-D18</x:f>
        <x:v>30.166666666666657</x:v>
      </x:c>
      <x:c r="H18" s="21" t="n">
        <x:f>MIN(G19,G21,G33,G38)</x:f>
        <x:v>42.16666666666666</x:v>
      </x:c>
      <x:c r="I18" s="21" t="n">
        <x:f>G18-E18</x:f>
        <x:v>7.666666666666657</x:v>
      </x:c>
      <x:c r="J18" s="21" t="n">
        <x:f>MIN(E19,E21,E33,E38)-F18</x:f>
        <x:v>0</x:v>
      </x:c>
      <x:c r="K18" s="21" t="str">
        <x:f>IF(ABS(I18)&lt;0.000001,"Có","Không")</x:f>
        <x:v>Không</x:v>
      </x:c>
      <x:c r="L18" s="21" t="n">
        <x:f>MAX(M10,M16)</x:f>
        <x:v>86.16666666666666</x:v>
      </x:c>
      <x:c r="M18" s="21" t="n">
        <x:f>L18+D18</x:f>
        <x:v>98.16666666666666</x:v>
      </x:c>
      <x:c r="N18" s="21" t="n">
        <x:f>L18-E18</x:f>
        <x:v>63.66666666666666</x:v>
      </x:c>
      <x:c r="O18" s="6" t="str">
        <x:v>ACT-1.3-01</x:v>
      </x:c>
    </x:row>
    <x:row r="19" ht="40" customHeight="1">
      <x:c r="A19" s="6" t="str">
        <x:v>ACT-4.2.1-01</x:v>
      </x:c>
      <x:c r="B19" s="6" t="str">
        <x:v>Chiến</x:v>
      </x:c>
      <x:c r="C19" s="21" t="n">
        <x:f>'Activities'!D19</x:f>
        <x:v>28.666666666666668</x:v>
      </x:c>
      <x:c r="D19" s="21" t="n">
        <x:f>C19/'Calendar'!$B$7</x:f>
        <x:v>14.333333333333334</x:v>
      </x:c>
      <x:c r="E19" s="21" t="n">
        <x:f>MAX(F11,F18)</x:f>
        <x:v>34.5</x:v>
      </x:c>
      <x:c r="F19" s="21" t="n">
        <x:f>E19+D19</x:f>
        <x:v>48.833333333333336</x:v>
      </x:c>
      <x:c r="G19" s="21" t="n">
        <x:f>H19-D19</x:f>
        <x:v>42.33333333333333</x:v>
      </x:c>
      <x:c r="H19" s="21" t="n">
        <x:f>MIN(G20)</x:f>
        <x:v>56.666666666666664</x:v>
      </x:c>
      <x:c r="I19" s="21" t="n">
        <x:f>G19-E19</x:f>
        <x:v>7.833333333333329</x:v>
      </x:c>
      <x:c r="J19" s="21" t="n">
        <x:f>MIN(E20)-F19</x:f>
        <x:v>0</x:v>
      </x:c>
      <x:c r="K19" s="21" t="str">
        <x:f>IF(ABS(I19)&lt;0.000001,"Có","Không")</x:f>
        <x:v>Không</x:v>
      </x:c>
      <x:c r="L19" s="21" t="n">
        <x:f>MAX(M11,M18,M17)</x:f>
        <x:v>98.16666666666666</x:v>
      </x:c>
      <x:c r="M19" s="21" t="n">
        <x:f>L19+D19</x:f>
        <x:v>112.49999999999999</x:v>
      </x:c>
      <x:c r="N19" s="21" t="n">
        <x:f>L19-E19</x:f>
        <x:v>63.66666666666666</x:v>
      </x:c>
      <x:c r="O19" s="6" t="str">
        <x:v>ACT-2.2-01</x:v>
      </x:c>
    </x:row>
    <x:row r="20" ht="40" customHeight="1">
      <x:c r="A20" s="6" t="str">
        <x:v>ACT-4.2.5-01</x:v>
      </x:c>
      <x:c r="B20" s="6" t="str">
        <x:v>Chiến</x:v>
      </x:c>
      <x:c r="C20" s="21" t="n">
        <x:f>'Activities'!D20</x:f>
        <x:v>15.333333333333334</x:v>
      </x:c>
      <x:c r="D20" s="21" t="n">
        <x:f>C20/'Calendar'!$B$7</x:f>
        <x:v>7.666666666666667</x:v>
      </x:c>
      <x:c r="E20" s="21" t="n">
        <x:f>MAX(F19)</x:f>
        <x:v>48.833333333333336</x:v>
      </x:c>
      <x:c r="F20" s="21" t="n">
        <x:f>E20+D20</x:f>
        <x:v>56.5</x:v>
      </x:c>
      <x:c r="G20" s="21" t="n">
        <x:f>H20-D20</x:f>
        <x:v>56.666666666666664</x:v>
      </x:c>
      <x:c r="H20" s="21" t="n">
        <x:f>MIN(G35)</x:f>
        <x:v>64.33333333333333</x:v>
      </x:c>
      <x:c r="I20" s="21" t="n">
        <x:f>G20-E20</x:f>
        <x:v>7.833333333333329</x:v>
      </x:c>
      <x:c r="J20" s="21" t="n">
        <x:f>MIN(E35)-F20</x:f>
        <x:v>7.833333333333329</x:v>
      </x:c>
      <x:c r="K20" s="21" t="str">
        <x:f>IF(ABS(I20)&lt;0.000001,"Có","Không")</x:f>
        <x:v>Không</x:v>
      </x:c>
      <x:c r="L20" s="21" t="n">
        <x:f>MAX(M19,M19)</x:f>
        <x:v>112.49999999999999</x:v>
      </x:c>
      <x:c r="M20" s="21" t="n">
        <x:f>L20+D20</x:f>
        <x:v>120.16666666666666</x:v>
      </x:c>
      <x:c r="N20" s="21" t="n">
        <x:f>L20-E20</x:f>
        <x:v>63.66666666666665</x:v>
      </x:c>
      <x:c r="O20" s="6" t="str">
        <x:v>ACT-4.2.1-01</x:v>
      </x:c>
    </x:row>
    <x:row r="21" ht="40" customHeight="1">
      <x:c r="A21" s="6" t="str">
        <x:v>ACT-4.3.1-01</x:v>
      </x:c>
      <x:c r="B21" s="6" t="str">
        <x:v>Việt Quang</x:v>
      </x:c>
      <x:c r="C21" s="21" t="n">
        <x:f>'Activities'!D21</x:f>
        <x:v>6</x:v>
      </x:c>
      <x:c r="D21" s="21" t="n">
        <x:f>C21/'Calendar'!$B$7</x:f>
        <x:v>3</x:v>
      </x:c>
      <x:c r="E21" s="21" t="n">
        <x:f>MAX(F18,F11)</x:f>
        <x:v>34.5</x:v>
      </x:c>
      <x:c r="F21" s="21" t="n">
        <x:f>E21+D21</x:f>
        <x:v>37.5</x:v>
      </x:c>
      <x:c r="G21" s="21" t="n">
        <x:f>H21-D21</x:f>
        <x:v>42.16666666666666</x:v>
      </x:c>
      <x:c r="H21" s="21" t="n">
        <x:f>MIN(G22)</x:f>
        <x:v>45.16666666666666</x:v>
      </x:c>
      <x:c r="I21" s="21" t="n">
        <x:f>G21-E21</x:f>
        <x:v>7.666666666666657</x:v>
      </x:c>
      <x:c r="J21" s="21" t="n">
        <x:f>MIN(E22)-F21</x:f>
        <x:v>0</x:v>
      </x:c>
      <x:c r="K21" s="21" t="str">
        <x:f>IF(ABS(I21)&lt;0.000001,"Có","Không")</x:f>
        <x:v>Không</x:v>
      </x:c>
      <x:c r="L21" s="21" t="n">
        <x:f>MAX(M18,M11,M18)</x:f>
        <x:v>98.16666666666666</x:v>
      </x:c>
      <x:c r="M21" s="21" t="n">
        <x:f>L21+D21</x:f>
        <x:v>101.16666666666666</x:v>
      </x:c>
      <x:c r="N21" s="21" t="n">
        <x:f>L21-E21</x:f>
        <x:v>63.66666666666666</x:v>
      </x:c>
      <x:c r="O21" s="6" t="str">
        <x:v>ACT-4.1-01</x:v>
      </x:c>
    </x:row>
    <x:row r="22" ht="40" customHeight="1">
      <x:c r="A22" s="6" t="str">
        <x:v>ACT-4.3.1-02</x:v>
      </x:c>
      <x:c r="B22" s="6" t="str">
        <x:v>Việt Quang</x:v>
      </x:c>
      <x:c r="C22" s="21" t="n">
        <x:f>'Activities'!D22</x:f>
        <x:v>4</x:v>
      </x:c>
      <x:c r="D22" s="21" t="n">
        <x:f>C22/'Calendar'!$B$7</x:f>
        <x:v>2</x:v>
      </x:c>
      <x:c r="E22" s="21" t="n">
        <x:f>MAX(F21)</x:f>
        <x:v>37.5</x:v>
      </x:c>
      <x:c r="F22" s="21" t="n">
        <x:f>E22+D22</x:f>
        <x:v>39.5</x:v>
      </x:c>
      <x:c r="G22" s="21" t="n">
        <x:f>H22-D22</x:f>
        <x:v>45.16666666666666</x:v>
      </x:c>
      <x:c r="H22" s="21" t="n">
        <x:f>MIN(G23)</x:f>
        <x:v>47.16666666666666</x:v>
      </x:c>
      <x:c r="I22" s="21" t="n">
        <x:f>G22-E22</x:f>
        <x:v>7.666666666666657</x:v>
      </x:c>
      <x:c r="J22" s="21" t="n">
        <x:f>MIN(E23)-F22</x:f>
        <x:v>0</x:v>
      </x:c>
      <x:c r="K22" s="21" t="str">
        <x:f>IF(ABS(I22)&lt;0.000001,"Có","Không")</x:f>
        <x:v>Không</x:v>
      </x:c>
      <x:c r="L22" s="21" t="n">
        <x:f>MAX(M21,M21)</x:f>
        <x:v>101.16666666666666</x:v>
      </x:c>
      <x:c r="M22" s="21" t="n">
        <x:f>L22+D22</x:f>
        <x:v>103.16666666666666</x:v>
      </x:c>
      <x:c r="N22" s="21" t="n">
        <x:f>L22-E22</x:f>
        <x:v>63.66666666666666</x:v>
      </x:c>
      <x:c r="O22" s="6" t="str">
        <x:v>ACT-4.3.1-01</x:v>
      </x:c>
    </x:row>
    <x:row r="23" ht="40" customHeight="1">
      <x:c r="A23" s="6" t="str">
        <x:v>ACT-4.3.1-03</x:v>
      </x:c>
      <x:c r="B23" s="6" t="str">
        <x:v>Việt Quang</x:v>
      </x:c>
      <x:c r="C23" s="21" t="n">
        <x:f>'Activities'!D23</x:f>
        <x:v>4</x:v>
      </x:c>
      <x:c r="D23" s="21" t="n">
        <x:f>C23/'Calendar'!$B$7</x:f>
        <x:v>2</x:v>
      </x:c>
      <x:c r="E23" s="21" t="n">
        <x:f>MAX(F22)</x:f>
        <x:v>39.5</x:v>
      </x:c>
      <x:c r="F23" s="21" t="n">
        <x:f>E23+D23</x:f>
        <x:v>41.5</x:v>
      </x:c>
      <x:c r="G23" s="21" t="n">
        <x:f>H23-D23</x:f>
        <x:v>47.16666666666666</x:v>
      </x:c>
      <x:c r="H23" s="21" t="n">
        <x:f>MIN(G24,G27)</x:f>
        <x:v>49.16666666666666</x:v>
      </x:c>
      <x:c r="I23" s="21" t="n">
        <x:f>G23-E23</x:f>
        <x:v>7.666666666666657</x:v>
      </x:c>
      <x:c r="J23" s="21" t="n">
        <x:f>MIN(E24,E27)-F23</x:f>
        <x:v>0</x:v>
      </x:c>
      <x:c r="K23" s="21" t="str">
        <x:f>IF(ABS(I23)&lt;0.000001,"Có","Không")</x:f>
        <x:v>Không</x:v>
      </x:c>
      <x:c r="L23" s="21" t="n">
        <x:f>MAX(M22,M22)</x:f>
        <x:v>103.16666666666666</x:v>
      </x:c>
      <x:c r="M23" s="21" t="n">
        <x:f>L23+D23</x:f>
        <x:v>105.16666666666666</x:v>
      </x:c>
      <x:c r="N23" s="21" t="n">
        <x:f>L23-E23</x:f>
        <x:v>63.66666666666666</x:v>
      </x:c>
      <x:c r="O23" s="6" t="str">
        <x:v>ACT-4.3.1-02</x:v>
      </x:c>
    </x:row>
    <x:row r="24" ht="40" customHeight="1">
      <x:c r="A24" s="6" t="str">
        <x:v>ACT-4.3.2-01</x:v>
      </x:c>
      <x:c r="B24" s="6" t="str">
        <x:v>Việt Quang</x:v>
      </x:c>
      <x:c r="C24" s="21" t="n">
        <x:f>'Activities'!D24</x:f>
        <x:v>6.666666666666667</x:v>
      </x:c>
      <x:c r="D24" s="21" t="n">
        <x:f>C24/'Calendar'!$B$7</x:f>
        <x:v>3.3333333333333335</x:v>
      </x:c>
      <x:c r="E24" s="21" t="n">
        <x:f>MAX(F23)</x:f>
        <x:v>41.5</x:v>
      </x:c>
      <x:c r="F24" s="21" t="n">
        <x:f>E24+D24</x:f>
        <x:v>44.833333333333336</x:v>
      </x:c>
      <x:c r="G24" s="21" t="n">
        <x:f>H24-D24</x:f>
        <x:v>49.16666666666666</x:v>
      </x:c>
      <x:c r="H24" s="21" t="n">
        <x:f>MIN(G25,G34)</x:f>
        <x:v>52.49999999999999</x:v>
      </x:c>
      <x:c r="I24" s="21" t="n">
        <x:f>G24-E24</x:f>
        <x:v>7.666666666666657</x:v>
      </x:c>
      <x:c r="J24" s="21" t="n">
        <x:f>MIN(E25,E34)-F24</x:f>
        <x:v>0</x:v>
      </x:c>
      <x:c r="K24" s="21" t="str">
        <x:f>IF(ABS(I24)&lt;0.000001,"Có","Không")</x:f>
        <x:v>Không</x:v>
      </x:c>
      <x:c r="L24" s="21" t="n">
        <x:f>MAX(M23,M23)</x:f>
        <x:v>105.16666666666666</x:v>
      </x:c>
      <x:c r="M24" s="21" t="n">
        <x:f>L24+D24</x:f>
        <x:v>108.49999999999999</x:v>
      </x:c>
      <x:c r="N24" s="21" t="n">
        <x:f>L24-E24</x:f>
        <x:v>63.66666666666666</x:v>
      </x:c>
      <x:c r="O24" s="6" t="str">
        <x:v>ACT-4.3.1-03</x:v>
      </x:c>
    </x:row>
    <x:row r="25" ht="40" customHeight="1">
      <x:c r="A25" s="6" t="str">
        <x:v>ACT-4.3.2-02</x:v>
      </x:c>
      <x:c r="B25" s="6" t="str">
        <x:v>Việt Quang</x:v>
      </x:c>
      <x:c r="C25" s="21" t="n">
        <x:f>'Activities'!D25</x:f>
        <x:v>10.666666666666666</x:v>
      </x:c>
      <x:c r="D25" s="21" t="n">
        <x:f>C25/'Calendar'!$B$7</x:f>
        <x:v>5.333333333333333</x:v>
      </x:c>
      <x:c r="E25" s="21" t="n">
        <x:f>MAX(F24)</x:f>
        <x:v>44.833333333333336</x:v>
      </x:c>
      <x:c r="F25" s="21" t="n">
        <x:f>E25+D25</x:f>
        <x:v>50.16666666666667</x:v>
      </x:c>
      <x:c r="G25" s="21" t="n">
        <x:f>H25-D25</x:f>
        <x:v>66.83333333333334</x:v>
      </x:c>
      <x:c r="H25" s="21" t="n">
        <x:f>MIN(G26)</x:f>
        <x:v>72.16666666666667</x:v>
      </x:c>
      <x:c r="I25" s="21" t="n">
        <x:f>G25-E25</x:f>
        <x:v>22.000000000000007</x:v>
      </x:c>
      <x:c r="J25" s="21" t="n">
        <x:f>MIN(E26)-F25</x:f>
        <x:v>0</x:v>
      </x:c>
      <x:c r="K25" s="21" t="str">
        <x:f>IF(ABS(I25)&lt;0.000001,"Có","Không")</x:f>
        <x:v>Không</x:v>
      </x:c>
      <x:c r="L25" s="21" t="n">
        <x:f>MAX(M24,M24)</x:f>
        <x:v>108.49999999999999</x:v>
      </x:c>
      <x:c r="M25" s="21" t="n">
        <x:f>L25+D25</x:f>
        <x:v>113.83333333333331</x:v>
      </x:c>
      <x:c r="N25" s="21" t="n">
        <x:f>L25-E25</x:f>
        <x:v>63.66666666666665</x:v>
      </x:c>
      <x:c r="O25" s="6" t="str">
        <x:v>ACT-4.3.2-01</x:v>
      </x:c>
    </x:row>
    <x:row r="26" ht="40" customHeight="1">
      <x:c r="A26" s="6" t="str">
        <x:v>ACT-4.3.2-03</x:v>
      </x:c>
      <x:c r="B26" s="6" t="str">
        <x:v>Việt Quang</x:v>
      </x:c>
      <x:c r="C26" s="21" t="n">
        <x:f>'Activities'!D26</x:f>
        <x:v>6.666666666666667</x:v>
      </x:c>
      <x:c r="D26" s="21" t="n">
        <x:f>C26/'Calendar'!$B$7</x:f>
        <x:v>3.3333333333333335</x:v>
      </x:c>
      <x:c r="E26" s="21" t="n">
        <x:f>MAX(F25)</x:f>
        <x:v>50.16666666666667</x:v>
      </x:c>
      <x:c r="F26" s="21" t="n">
        <x:f>E26+D26</x:f>
        <x:v>53.50000000000001</x:v>
      </x:c>
      <x:c r="G26" s="21" t="n">
        <x:f>H26-D26</x:f>
        <x:v>72.16666666666667</x:v>
      </x:c>
      <x:c r="H26" s="21" t="n">
        <x:f>MIN(G30)</x:f>
        <x:v>75.5</x:v>
      </x:c>
      <x:c r="I26" s="21" t="n">
        <x:f>G26-E26</x:f>
        <x:v>22</x:v>
      </x:c>
      <x:c r="J26" s="21" t="n">
        <x:f>MIN(E30)-F26</x:f>
        <x:v>0</x:v>
      </x:c>
      <x:c r="K26" s="21" t="str">
        <x:f>IF(ABS(I26)&lt;0.000001,"Có","Không")</x:f>
        <x:v>Không</x:v>
      </x:c>
      <x:c r="L26" s="21" t="n">
        <x:f>MAX(M25,M25)</x:f>
        <x:v>113.83333333333331</x:v>
      </x:c>
      <x:c r="M26" s="21" t="n">
        <x:f>L26+D26</x:f>
        <x:v>117.16666666666664</x:v>
      </x:c>
      <x:c r="N26" s="21" t="n">
        <x:f>L26-E26</x:f>
        <x:v>63.66666666666664</x:v>
      </x:c>
      <x:c r="O26" s="6" t="str">
        <x:v>ACT-4.3.2-02</x:v>
      </x:c>
    </x:row>
    <x:row r="27" ht="40" customHeight="1">
      <x:c r="A27" s="6" t="str">
        <x:v>ACT-4.3.3-01</x:v>
      </x:c>
      <x:c r="B27" s="6" t="str">
        <x:v>Việt Quang</x:v>
      </x:c>
      <x:c r="C27" s="21" t="n">
        <x:f>'Activities'!D27</x:f>
        <x:v>7.666666666666667</x:v>
      </x:c>
      <x:c r="D27" s="21" t="n">
        <x:f>C27/'Calendar'!$B$7</x:f>
        <x:v>3.8333333333333335</x:v>
      </x:c>
      <x:c r="E27" s="21" t="n">
        <x:f>MAX(F23)</x:f>
        <x:v>41.5</x:v>
      </x:c>
      <x:c r="F27" s="21" t="n">
        <x:f>E27+D27</x:f>
        <x:v>45.333333333333336</x:v>
      </x:c>
      <x:c r="G27" s="21" t="n">
        <x:f>H27-D27</x:f>
        <x:v>60.49999999999999</x:v>
      </x:c>
      <x:c r="H27" s="21" t="n">
        <x:f>MIN(G28,G35)</x:f>
        <x:v>64.33333333333333</x:v>
      </x:c>
      <x:c r="I27" s="21" t="n">
        <x:f>G27-E27</x:f>
        <x:v>18.999999999999993</x:v>
      </x:c>
      <x:c r="J27" s="21" t="n">
        <x:f>MIN(E28,E35)-F27</x:f>
        <x:v>0</x:v>
      </x:c>
      <x:c r="K27" s="21" t="str">
        <x:f>IF(ABS(I27)&lt;0.000001,"Có","Không")</x:f>
        <x:v>Không</x:v>
      </x:c>
      <x:c r="L27" s="21" t="n">
        <x:f>MAX(M23,M26)</x:f>
        <x:v>117.16666666666664</x:v>
      </x:c>
      <x:c r="M27" s="21" t="n">
        <x:f>L27+D27</x:f>
        <x:v>120.99999999999997</x:v>
      </x:c>
      <x:c r="N27" s="21" t="n">
        <x:f>L27-E27</x:f>
        <x:v>75.66666666666664</x:v>
      </x:c>
      <x:c r="O27" s="6" t="str">
        <x:v>ACT-4.3.2-03</x:v>
      </x:c>
    </x:row>
    <x:row r="28" ht="40" customHeight="1">
      <x:c r="A28" s="6" t="str">
        <x:v>ACT-4.3.3-02</x:v>
      </x:c>
      <x:c r="B28" s="6" t="str">
        <x:v>Việt Quang</x:v>
      </x:c>
      <x:c r="C28" s="21" t="n">
        <x:f>'Activities'!D28</x:f>
        <x:v>12.333333333333334</x:v>
      </x:c>
      <x:c r="D28" s="21" t="n">
        <x:f>C28/'Calendar'!$B$7</x:f>
        <x:v>6.166666666666667</x:v>
      </x:c>
      <x:c r="E28" s="21" t="n">
        <x:f>MAX(F27)</x:f>
        <x:v>45.333333333333336</x:v>
      </x:c>
      <x:c r="F28" s="21" t="n">
        <x:f>E28+D28</x:f>
        <x:v>51.5</x:v>
      </x:c>
      <x:c r="G28" s="21" t="n">
        <x:f>H28-D28</x:f>
        <x:v>68.16666666666667</x:v>
      </x:c>
      <x:c r="H28" s="21" t="n">
        <x:f>MIN(G29)</x:f>
        <x:v>74.33333333333334</x:v>
      </x:c>
      <x:c r="I28" s="21" t="n">
        <x:f>G28-E28</x:f>
        <x:v>22.833333333333336</x:v>
      </x:c>
      <x:c r="J28" s="21" t="n">
        <x:f>MIN(E29)-F28</x:f>
        <x:v>0</x:v>
      </x:c>
      <x:c r="K28" s="21" t="str">
        <x:f>IF(ABS(I28)&lt;0.000001,"Có","Không")</x:f>
        <x:v>Không</x:v>
      </x:c>
      <x:c r="L28" s="21" t="n">
        <x:f>MAX(M27,M27)</x:f>
        <x:v>120.99999999999997</x:v>
      </x:c>
      <x:c r="M28" s="21" t="n">
        <x:f>L28+D28</x:f>
        <x:v>127.16666666666664</x:v>
      </x:c>
      <x:c r="N28" s="21" t="n">
        <x:f>L28-E28</x:f>
        <x:v>75.66666666666663</x:v>
      </x:c>
      <x:c r="O28" s="6" t="str">
        <x:v>ACT-4.3.3-01</x:v>
      </x:c>
    </x:row>
    <x:row r="29" ht="40" customHeight="1">
      <x:c r="A29" s="6" t="str">
        <x:v>ACT-4.3.3-03</x:v>
      </x:c>
      <x:c r="B29" s="6" t="str">
        <x:v>Việt Quang</x:v>
      </x:c>
      <x:c r="C29" s="21" t="n">
        <x:f>'Activities'!D29</x:f>
        <x:v>6.666666666666667</x:v>
      </x:c>
      <x:c r="D29" s="21" t="n">
        <x:f>C29/'Calendar'!$B$7</x:f>
        <x:v>3.3333333333333335</x:v>
      </x:c>
      <x:c r="E29" s="21" t="n">
        <x:f>MAX(F28)</x:f>
        <x:v>51.5</x:v>
      </x:c>
      <x:c r="F29" s="21" t="n">
        <x:f>E29+D29</x:f>
        <x:v>54.833333333333336</x:v>
      </x:c>
      <x:c r="G29" s="21" t="n">
        <x:f>H29-D29</x:f>
        <x:v>74.33333333333334</x:v>
      </x:c>
      <x:c r="H29" s="21" t="n">
        <x:f>MIN(G31)</x:f>
        <x:v>77.66666666666667</x:v>
      </x:c>
      <x:c r="I29" s="21" t="n">
        <x:f>G29-E29</x:f>
        <x:v>22.833333333333343</x:v>
      </x:c>
      <x:c r="J29" s="21" t="n">
        <x:f>MIN(E31)-F29</x:f>
        <x:v>0.8333333333333357</x:v>
      </x:c>
      <x:c r="K29" s="21" t="str">
        <x:f>IF(ABS(I29)&lt;0.000001,"Có","Không")</x:f>
        <x:v>Không</x:v>
      </x:c>
      <x:c r="L29" s="21" t="n">
        <x:f>MAX(M28,M28)</x:f>
        <x:v>127.16666666666664</x:v>
      </x:c>
      <x:c r="M29" s="21" t="n">
        <x:f>L29+D29</x:f>
        <x:v>130.49999999999997</x:v>
      </x:c>
      <x:c r="N29" s="21" t="n">
        <x:f>L29-E29</x:f>
        <x:v>75.66666666666664</x:v>
      </x:c>
      <x:c r="O29" s="6" t="str">
        <x:v>ACT-4.3.3-02</x:v>
      </x:c>
    </x:row>
    <x:row r="30" ht="40" customHeight="1">
      <x:c r="A30" s="6" t="str">
        <x:v>ACT-4.3.4-01</x:v>
      </x:c>
      <x:c r="B30" s="6" t="str">
        <x:v>Việt Quang</x:v>
      </x:c>
      <x:c r="C30" s="21" t="n">
        <x:f>'Activities'!D30</x:f>
        <x:v>4.333333333333333</x:v>
      </x:c>
      <x:c r="D30" s="21" t="n">
        <x:f>C30/'Calendar'!$B$7</x:f>
        <x:v>2.1666666666666665</x:v>
      </x:c>
      <x:c r="E30" s="21" t="n">
        <x:f>MAX(F26)</x:f>
        <x:v>53.50000000000001</x:v>
      </x:c>
      <x:c r="F30" s="21" t="n">
        <x:f>E30+D30</x:f>
        <x:v>55.66666666666667</x:v>
      </x:c>
      <x:c r="G30" s="21" t="n">
        <x:f>H30-D30</x:f>
        <x:v>75.5</x:v>
      </x:c>
      <x:c r="H30" s="21" t="n">
        <x:f>MIN(G31)</x:f>
        <x:v>77.66666666666667</x:v>
      </x:c>
      <x:c r="I30" s="21" t="n">
        <x:f>G30-E30</x:f>
        <x:v>21.999999999999993</x:v>
      </x:c>
      <x:c r="J30" s="21" t="n">
        <x:f>MIN(E31)-F30</x:f>
        <x:v>0</x:v>
      </x:c>
      <x:c r="K30" s="21" t="str">
        <x:f>IF(ABS(I30)&lt;0.000001,"Có","Không")</x:f>
        <x:v>Không</x:v>
      </x:c>
      <x:c r="L30" s="21" t="n">
        <x:f>MAX(M26,M29)</x:f>
        <x:v>130.49999999999997</x:v>
      </x:c>
      <x:c r="M30" s="21" t="n">
        <x:f>L30+D30</x:f>
        <x:v>132.66666666666663</x:v>
      </x:c>
      <x:c r="N30" s="21" t="n">
        <x:f>L30-E30</x:f>
        <x:v>76.99999999999997</x:v>
      </x:c>
      <x:c r="O30" s="6" t="str">
        <x:v>ACT-4.3.3-03</x:v>
      </x:c>
    </x:row>
    <x:row r="31" ht="40" customHeight="1">
      <x:c r="A31" s="6" t="str">
        <x:v>ACT-4.3.4-02</x:v>
      </x:c>
      <x:c r="B31" s="6" t="str">
        <x:v>Việt Quang</x:v>
      </x:c>
      <x:c r="C31" s="21" t="n">
        <x:f>'Activities'!D31</x:f>
        <x:v>6.666666666666667</x:v>
      </x:c>
      <x:c r="D31" s="21" t="n">
        <x:f>C31/'Calendar'!$B$7</x:f>
        <x:v>3.3333333333333335</x:v>
      </x:c>
      <x:c r="E31" s="21" t="n">
        <x:f>MAX(F29,F30)</x:f>
        <x:v>55.66666666666667</x:v>
      </x:c>
      <x:c r="F31" s="21" t="n">
        <x:f>E31+D31</x:f>
        <x:v>59.00000000000001</x:v>
      </x:c>
      <x:c r="G31" s="21" t="n">
        <x:f>H31-D31</x:f>
        <x:v>77.66666666666667</x:v>
      </x:c>
      <x:c r="H31" s="21" t="n">
        <x:f>MIN(G32)</x:f>
        <x:v>81</x:v>
      </x:c>
      <x:c r="I31" s="21" t="n">
        <x:f>G31-E31</x:f>
        <x:v>22</x:v>
      </x:c>
      <x:c r="J31" s="21" t="n">
        <x:f>MIN(E32)-F31</x:f>
        <x:v>0</x:v>
      </x:c>
      <x:c r="K31" s="21" t="str">
        <x:f>IF(ABS(I31)&lt;0.000001,"Có","Không")</x:f>
        <x:v>Không</x:v>
      </x:c>
      <x:c r="L31" s="21" t="n">
        <x:f>MAX(M29,M30,M30)</x:f>
        <x:v>132.66666666666663</x:v>
      </x:c>
      <x:c r="M31" s="21" t="n">
        <x:f>L31+D31</x:f>
        <x:v>135.99999999999997</x:v>
      </x:c>
      <x:c r="N31" s="21" t="n">
        <x:f>L31-E31</x:f>
        <x:v>76.99999999999996</x:v>
      </x:c>
      <x:c r="O31" s="6" t="str">
        <x:v>ACT-4.3.4-01</x:v>
      </x:c>
    </x:row>
    <x:row r="32" ht="40" customHeight="1">
      <x:c r="A32" s="6" t="str">
        <x:v>ACT-4.3.4-03</x:v>
      </x:c>
      <x:c r="B32" s="6" t="str">
        <x:v>Việt Quang</x:v>
      </x:c>
      <x:c r="C32" s="21" t="n">
        <x:f>'Activities'!D32</x:f>
        <x:v>5</x:v>
      </x:c>
      <x:c r="D32" s="21" t="n">
        <x:f>C32/'Calendar'!$B$7</x:f>
        <x:v>2.5</x:v>
      </x:c>
      <x:c r="E32" s="21" t="n">
        <x:f>MAX(F31)</x:f>
        <x:v>59.00000000000001</x:v>
      </x:c>
      <x:c r="F32" s="21" t="n">
        <x:f>E32+D32</x:f>
        <x:v>61.50000000000001</x:v>
      </x:c>
      <x:c r="G32" s="21" t="n">
        <x:f>H32-D32</x:f>
        <x:v>81</x:v>
      </x:c>
      <x:c r="H32" s="21" t="n">
        <x:f>MAX($F$8:$F$42)</x:f>
        <x:v>83.5</x:v>
      </x:c>
      <x:c r="I32" s="21" t="n">
        <x:f>G32-E32</x:f>
        <x:v>21.999999999999993</x:v>
      </x:c>
      <x:c r="J32" s="21" t="n">
        <x:f>MAX($F$8:$F$42)-F32</x:f>
        <x:v>21.999999999999993</x:v>
      </x:c>
      <x:c r="K32" s="21" t="str">
        <x:f>IF(ABS(I32)&lt;0.000001,"Có","Không")</x:f>
        <x:v>Không</x:v>
      </x:c>
      <x:c r="L32" s="21" t="n">
        <x:f>MAX(M31,M31)</x:f>
        <x:v>135.99999999999997</x:v>
      </x:c>
      <x:c r="M32" s="21" t="n">
        <x:f>L32+D32</x:f>
        <x:v>138.49999999999997</x:v>
      </x:c>
      <x:c r="N32" s="21" t="n">
        <x:f>L32-E32</x:f>
        <x:v>76.99999999999997</x:v>
      </x:c>
      <x:c r="O32" s="6" t="str">
        <x:v>ACT-4.3.4-02</x:v>
      </x:c>
    </x:row>
    <x:row r="33" ht="40" customHeight="1">
      <x:c r="A33" s="6" t="str">
        <x:v>ACT-4.4.1-01</x:v>
      </x:c>
      <x:c r="B33" s="6" t="str">
        <x:v>Quang Anh</x:v>
      </x:c>
      <x:c r="C33" s="21" t="n">
        <x:f>'Activities'!D33</x:f>
        <x:v>7</x:v>
      </x:c>
      <x:c r="D33" s="21" t="n">
        <x:f>C33/'Calendar'!$B$7</x:f>
        <x:v>3.5</x:v>
      </x:c>
      <x:c r="E33" s="21" t="n">
        <x:f>MAX(F18,F11)</x:f>
        <x:v>34.5</x:v>
      </x:c>
      <x:c r="F33" s="21" t="n">
        <x:f>E33+D33</x:f>
        <x:v>38</x:v>
      </x:c>
      <x:c r="G33" s="21" t="n">
        <x:f>H33-D33</x:f>
        <x:v>48.99999999999999</x:v>
      </x:c>
      <x:c r="H33" s="21" t="n">
        <x:f>MIN(G34,G36)</x:f>
        <x:v>52.49999999999999</x:v>
      </x:c>
      <x:c r="I33" s="21" t="n">
        <x:f>G33-E33</x:f>
        <x:v>14.499999999999993</x:v>
      </x:c>
      <x:c r="J33" s="21" t="n">
        <x:f>MIN(E34,E36)-F33</x:f>
        <x:v>0</x:v>
      </x:c>
      <x:c r="K33" s="21" t="str">
        <x:f>IF(ABS(I33)&lt;0.000001,"Có","Không")</x:f>
        <x:v>Không</x:v>
      </x:c>
      <x:c r="L33" s="21" t="n">
        <x:f>MAX(M18,M11)</x:f>
        <x:v>98.16666666666666</x:v>
      </x:c>
      <x:c r="M33" s="21" t="n">
        <x:f>L33+D33</x:f>
        <x:v>101.66666666666666</x:v>
      </x:c>
      <x:c r="N33" s="21" t="n">
        <x:f>L33-E33</x:f>
        <x:v>63.66666666666666</x:v>
      </x:c>
      <x:c r="O33" s="6" t="str"/>
    </x:row>
    <x:row r="34" ht="40" customHeight="1">
      <x:c r="A34" s="6" t="str">
        <x:v>ACT-4.2.6-01</x:v>
      </x:c>
      <x:c r="B34" s="6" t="str">
        <x:v>Chiến</x:v>
      </x:c>
      <x:c r="C34" s="21" t="n">
        <x:f>'Activities'!D34</x:f>
        <x:v>23.666666666666668</x:v>
      </x:c>
      <x:c r="D34" s="21" t="n">
        <x:f>C34/'Calendar'!$B$7</x:f>
        <x:v>11.833333333333334</x:v>
      </x:c>
      <x:c r="E34" s="21" t="n">
        <x:f>MAX(F14,F24,F33)</x:f>
        <x:v>52.5</x:v>
      </x:c>
      <x:c r="F34" s="21" t="n">
        <x:f>E34+D34</x:f>
        <x:v>64.33333333333333</x:v>
      </x:c>
      <x:c r="G34" s="21" t="n">
        <x:f>H34-D34</x:f>
        <x:v>52.49999999999999</x:v>
      </x:c>
      <x:c r="H34" s="21" t="n">
        <x:f>MIN(G35)</x:f>
        <x:v>64.33333333333333</x:v>
      </x:c>
      <x:c r="I34" s="21" t="n">
        <x:f>G34-E34</x:f>
        <x:v>-7.105427357601002e-15</x:v>
      </x:c>
      <x:c r="J34" s="21" t="n">
        <x:f>MIN(E35)-F34</x:f>
        <x:v>0</x:v>
      </x:c>
      <x:c r="K34" s="21" t="str">
        <x:f>IF(ABS(I34)&lt;0.000001,"Có","Không")</x:f>
        <x:v>Có</x:v>
      </x:c>
      <x:c r="L34" s="21" t="n">
        <x:f>MAX(M14,M24,M33,M20)</x:f>
        <x:v>120.16666666666666</x:v>
      </x:c>
      <x:c r="M34" s="21" t="n">
        <x:f>L34+D34</x:f>
        <x:v>132</x:v>
      </x:c>
      <x:c r="N34" s="21" t="n">
        <x:f>L34-E34</x:f>
        <x:v>67.66666666666666</x:v>
      </x:c>
      <x:c r="O34" s="6" t="str">
        <x:v>ACT-4.2.5-01</x:v>
      </x:c>
    </x:row>
    <x:row r="35" ht="40" customHeight="1">
      <x:c r="A35" s="6" t="str">
        <x:v>ACT-5.1-01</x:v>
      </x:c>
      <x:c r="B35" s="6" t="str">
        <x:v>Chiến</x:v>
      </x:c>
      <x:c r="C35" s="21" t="n">
        <x:f>'Activities'!D35</x:f>
        <x:v>16.333333333333332</x:v>
      </x:c>
      <x:c r="D35" s="21" t="n">
        <x:f>C35/'Calendar'!$B$7</x:f>
        <x:v>8.166666666666666</x:v>
      </x:c>
      <x:c r="E35" s="21" t="n">
        <x:f>MAX(F34,F20,F27)</x:f>
        <x:v>64.33333333333333</x:v>
      </x:c>
      <x:c r="F35" s="21" t="n">
        <x:f>E35+D35</x:f>
        <x:v>72.5</x:v>
      </x:c>
      <x:c r="G35" s="21" t="n">
        <x:f>H35-D35</x:f>
        <x:v>64.33333333333333</x:v>
      </x:c>
      <x:c r="H35" s="21" t="n">
        <x:f>MIN(G41)</x:f>
        <x:v>72.5</x:v>
      </x:c>
      <x:c r="I35" s="21" t="n">
        <x:f>G35-E35</x:f>
        <x:v>0</x:v>
      </x:c>
      <x:c r="J35" s="21" t="n">
        <x:f>MIN(E41)-F35</x:f>
        <x:v>0</x:v>
      </x:c>
      <x:c r="K35" s="21" t="str">
        <x:f>IF(ABS(I35)&lt;0.000001,"Có","Không")</x:f>
        <x:v>Có</x:v>
      </x:c>
      <x:c r="L35" s="21" t="n">
        <x:f>MAX(M34,M20,M27,M34)</x:f>
        <x:v>132</x:v>
      </x:c>
      <x:c r="M35" s="21" t="n">
        <x:f>L35+D35</x:f>
        <x:v>140.16666666666666</x:v>
      </x:c>
      <x:c r="N35" s="21" t="n">
        <x:f>L35-E35</x:f>
        <x:v>67.66666666666667</x:v>
      </x:c>
      <x:c r="O35" s="6" t="str">
        <x:v>ACT-4.2.6-01</x:v>
      </x:c>
    </x:row>
    <x:row r="36" ht="40" customHeight="1">
      <x:c r="A36" s="6" t="str">
        <x:v>ACT-4.4.1-02</x:v>
      </x:c>
      <x:c r="B36" s="6" t="str">
        <x:v>Quang Anh</x:v>
      </x:c>
      <x:c r="C36" s="21" t="n">
        <x:f>'Activities'!D36</x:f>
        <x:v>9</x:v>
      </x:c>
      <x:c r="D36" s="21" t="n">
        <x:f>C36/'Calendar'!$B$7</x:f>
        <x:v>4.5</x:v>
      </x:c>
      <x:c r="E36" s="21" t="n">
        <x:f>MAX(F33)</x:f>
        <x:v>38</x:v>
      </x:c>
      <x:c r="F36" s="21" t="n">
        <x:f>E36+D36</x:f>
        <x:v>42.5</x:v>
      </x:c>
      <x:c r="G36" s="21" t="n">
        <x:f>H36-D36</x:f>
        <x:v>76</x:v>
      </x:c>
      <x:c r="H36" s="21" t="n">
        <x:f>MIN(G37)</x:f>
        <x:v>80.5</x:v>
      </x:c>
      <x:c r="I36" s="21" t="n">
        <x:f>G36-E36</x:f>
        <x:v>38</x:v>
      </x:c>
      <x:c r="J36" s="21" t="n">
        <x:f>MIN(E37)-F36</x:f>
        <x:v>0</x:v>
      </x:c>
      <x:c r="K36" s="21" t="str">
        <x:f>IF(ABS(I36)&lt;0.000001,"Có","Không")</x:f>
        <x:v>Không</x:v>
      </x:c>
      <x:c r="L36" s="21" t="n">
        <x:f>MAX(M33,M33)</x:f>
        <x:v>101.66666666666666</x:v>
      </x:c>
      <x:c r="M36" s="21" t="n">
        <x:f>L36+D36</x:f>
        <x:v>106.16666666666666</x:v>
      </x:c>
      <x:c r="N36" s="21" t="n">
        <x:f>L36-E36</x:f>
        <x:v>63.66666666666666</x:v>
      </x:c>
      <x:c r="O36" s="6" t="str">
        <x:v>ACT-4.4.1-01</x:v>
      </x:c>
    </x:row>
    <x:row r="37" ht="40" customHeight="1">
      <x:c r="A37" s="6" t="str">
        <x:v>ACT-4.4.1-03</x:v>
      </x:c>
      <x:c r="B37" s="6" t="str">
        <x:v>Quang Anh</x:v>
      </x:c>
      <x:c r="C37" s="21" t="n">
        <x:f>'Activities'!D37</x:f>
        <x:v>6</x:v>
      </x:c>
      <x:c r="D37" s="21" t="n">
        <x:f>C37/'Calendar'!$B$7</x:f>
        <x:v>3</x:v>
      </x:c>
      <x:c r="E37" s="21" t="n">
        <x:f>MAX(F36)</x:f>
        <x:v>42.5</x:v>
      </x:c>
      <x:c r="F37" s="21" t="n">
        <x:f>E37+D37</x:f>
        <x:v>45.5</x:v>
      </x:c>
      <x:c r="G37" s="21" t="n">
        <x:f>H37-D37</x:f>
        <x:v>80.5</x:v>
      </x:c>
      <x:c r="H37" s="21" t="n">
        <x:f>MAX($F$8:$F$42)</x:f>
        <x:v>83.5</x:v>
      </x:c>
      <x:c r="I37" s="21" t="n">
        <x:f>G37-E37</x:f>
        <x:v>38</x:v>
      </x:c>
      <x:c r="J37" s="21" t="n">
        <x:f>MAX($F$8:$F$42)-F37</x:f>
        <x:v>38</x:v>
      </x:c>
      <x:c r="K37" s="21" t="str">
        <x:f>IF(ABS(I37)&lt;0.000001,"Có","Không")</x:f>
        <x:v>Không</x:v>
      </x:c>
      <x:c r="L37" s="21" t="n">
        <x:f>MAX(M36,M36)</x:f>
        <x:v>106.16666666666666</x:v>
      </x:c>
      <x:c r="M37" s="21" t="n">
        <x:f>L37+D37</x:f>
        <x:v>109.16666666666666</x:v>
      </x:c>
      <x:c r="N37" s="21" t="n">
        <x:f>L37-E37</x:f>
        <x:v>63.66666666666666</x:v>
      </x:c>
      <x:c r="O37" s="6" t="str">
        <x:v>ACT-4.4.1-02</x:v>
      </x:c>
    </x:row>
    <x:row r="38" ht="40" customHeight="1">
      <x:c r="A38" s="6" t="str">
        <x:v>ACT-4.4.3-01</x:v>
      </x:c>
      <x:c r="B38" s="6" t="str">
        <x:v>Quang Anh</x:v>
      </x:c>
      <x:c r="C38" s="21" t="n">
        <x:f>'Activities'!D38</x:f>
        <x:v>5</x:v>
      </x:c>
      <x:c r="D38" s="21" t="n">
        <x:f>C38/'Calendar'!$B$7</x:f>
        <x:v>2.5</x:v>
      </x:c>
      <x:c r="E38" s="21" t="n">
        <x:f>MAX(F18,F11)</x:f>
        <x:v>34.5</x:v>
      </x:c>
      <x:c r="F38" s="21" t="n">
        <x:f>E38+D38</x:f>
        <x:v>37</x:v>
      </x:c>
      <x:c r="G38" s="21" t="n">
        <x:f>H38-D38</x:f>
        <x:v>76.5</x:v>
      </x:c>
      <x:c r="H38" s="21" t="n">
        <x:f>MIN(G39)</x:f>
        <x:v>79</x:v>
      </x:c>
      <x:c r="I38" s="21" t="n">
        <x:f>G38-E38</x:f>
        <x:v>42</x:v>
      </x:c>
      <x:c r="J38" s="21" t="n">
        <x:f>MIN(E39)-F38</x:f>
        <x:v>0</x:v>
      </x:c>
      <x:c r="K38" s="21" t="str">
        <x:f>IF(ABS(I38)&lt;0.000001,"Có","Không")</x:f>
        <x:v>Không</x:v>
      </x:c>
      <x:c r="L38" s="21" t="n">
        <x:f>MAX(M18,M11,M37)</x:f>
        <x:v>109.16666666666666</x:v>
      </x:c>
      <x:c r="M38" s="21" t="n">
        <x:f>L38+D38</x:f>
        <x:v>111.66666666666666</x:v>
      </x:c>
      <x:c r="N38" s="21" t="n">
        <x:f>L38-E38</x:f>
        <x:v>74.66666666666666</x:v>
      </x:c>
      <x:c r="O38" s="6" t="str">
        <x:v>ACT-4.4.1-03</x:v>
      </x:c>
    </x:row>
    <x:row r="39" ht="40" customHeight="1">
      <x:c r="A39" s="6" t="str">
        <x:v>ACT-4.4.3-02</x:v>
      </x:c>
      <x:c r="B39" s="6" t="str">
        <x:v>Quang Anh</x:v>
      </x:c>
      <x:c r="C39" s="21" t="n">
        <x:f>'Activities'!D39</x:f>
        <x:v>5</x:v>
      </x:c>
      <x:c r="D39" s="21" t="n">
        <x:f>C39/'Calendar'!$B$7</x:f>
        <x:v>2.5</x:v>
      </x:c>
      <x:c r="E39" s="21" t="n">
        <x:f>MAX(F38)</x:f>
        <x:v>37</x:v>
      </x:c>
      <x:c r="F39" s="21" t="n">
        <x:f>E39+D39</x:f>
        <x:v>39.5</x:v>
      </x:c>
      <x:c r="G39" s="21" t="n">
        <x:f>H39-D39</x:f>
        <x:v>79</x:v>
      </x:c>
      <x:c r="H39" s="21" t="n">
        <x:f>MIN(G40)</x:f>
        <x:v>81.5</x:v>
      </x:c>
      <x:c r="I39" s="21" t="n">
        <x:f>G39-E39</x:f>
        <x:v>42</x:v>
      </x:c>
      <x:c r="J39" s="21" t="n">
        <x:f>MIN(E40)-F39</x:f>
        <x:v>0</x:v>
      </x:c>
      <x:c r="K39" s="21" t="str">
        <x:f>IF(ABS(I39)&lt;0.000001,"Có","Không")</x:f>
        <x:v>Không</x:v>
      </x:c>
      <x:c r="L39" s="21" t="n">
        <x:f>MAX(M38,M38)</x:f>
        <x:v>111.66666666666666</x:v>
      </x:c>
      <x:c r="M39" s="21" t="n">
        <x:f>L39+D39</x:f>
        <x:v>114.16666666666666</x:v>
      </x:c>
      <x:c r="N39" s="21" t="n">
        <x:f>L39-E39</x:f>
        <x:v>74.66666666666666</x:v>
      </x:c>
      <x:c r="O39" s="6" t="str">
        <x:v>ACT-4.4.3-01</x:v>
      </x:c>
    </x:row>
    <x:row r="40" ht="40" customHeight="1">
      <x:c r="A40" s="6" t="str">
        <x:v>ACT-4.4.3-03</x:v>
      </x:c>
      <x:c r="B40" s="6" t="str">
        <x:v>Quang Anh</x:v>
      </x:c>
      <x:c r="C40" s="21" t="n">
        <x:f>'Activities'!D40</x:f>
        <x:v>4</x:v>
      </x:c>
      <x:c r="D40" s="21" t="n">
        <x:f>C40/'Calendar'!$B$7</x:f>
        <x:v>2</x:v>
      </x:c>
      <x:c r="E40" s="21" t="n">
        <x:f>MAX(F39)</x:f>
        <x:v>39.5</x:v>
      </x:c>
      <x:c r="F40" s="21" t="n">
        <x:f>E40+D40</x:f>
        <x:v>41.5</x:v>
      </x:c>
      <x:c r="G40" s="21" t="n">
        <x:f>H40-D40</x:f>
        <x:v>81.5</x:v>
      </x:c>
      <x:c r="H40" s="21" t="n">
        <x:f>MAX($F$8:$F$42)</x:f>
        <x:v>83.5</x:v>
      </x:c>
      <x:c r="I40" s="21" t="n">
        <x:f>G40-E40</x:f>
        <x:v>42</x:v>
      </x:c>
      <x:c r="J40" s="21" t="n">
        <x:f>MAX($F$8:$F$42)-F40</x:f>
        <x:v>42</x:v>
      </x:c>
      <x:c r="K40" s="21" t="str">
        <x:f>IF(ABS(I40)&lt;0.000001,"Có","Không")</x:f>
        <x:v>Không</x:v>
      </x:c>
      <x:c r="L40" s="21" t="n">
        <x:f>MAX(M39,M39)</x:f>
        <x:v>114.16666666666666</x:v>
      </x:c>
      <x:c r="M40" s="21" t="n">
        <x:f>L40+D40</x:f>
        <x:v>116.16666666666666</x:v>
      </x:c>
      <x:c r="N40" s="21" t="n">
        <x:f>L40-E40</x:f>
        <x:v>74.66666666666666</x:v>
      </x:c>
      <x:c r="O40" s="6" t="str">
        <x:v>ACT-4.4.3-02</x:v>
      </x:c>
    </x:row>
    <x:row r="41" ht="40" customHeight="1">
      <x:c r="A41" s="6" t="str">
        <x:v>ACT-6.2-01</x:v>
      </x:c>
      <x:c r="B41" s="6" t="str">
        <x:v>Quang Anh</x:v>
      </x:c>
      <x:c r="C41" s="21" t="n">
        <x:f>'Activities'!D41</x:f>
        <x:v>10</x:v>
      </x:c>
      <x:c r="D41" s="21" t="n">
        <x:f>C41/'Calendar'!$B$7</x:f>
        <x:v>5</x:v>
      </x:c>
      <x:c r="E41" s="21" t="n">
        <x:f>MAX(F35)</x:f>
        <x:v>72.5</x:v>
      </x:c>
      <x:c r="F41" s="21" t="n">
        <x:f>E41+D41</x:f>
        <x:v>77.5</x:v>
      </x:c>
      <x:c r="G41" s="21" t="n">
        <x:f>H41-D41</x:f>
        <x:v>72.5</x:v>
      </x:c>
      <x:c r="H41" s="21" t="n">
        <x:f>MIN(G42)</x:f>
        <x:v>77.5</x:v>
      </x:c>
      <x:c r="I41" s="21" t="n">
        <x:f>G41-E41</x:f>
        <x:v>0</x:v>
      </x:c>
      <x:c r="J41" s="21" t="n">
        <x:f>MIN(E42)-F41</x:f>
        <x:v>0</x:v>
      </x:c>
      <x:c r="K41" s="21" t="str">
        <x:f>IF(ABS(I41)&lt;0.000001,"Có","Không")</x:f>
        <x:v>Có</x:v>
      </x:c>
      <x:c r="L41" s="21" t="n">
        <x:f>MAX(M35,M40)</x:f>
        <x:v>140.16666666666666</x:v>
      </x:c>
      <x:c r="M41" s="21" t="n">
        <x:f>L41+D41</x:f>
        <x:v>145.16666666666666</x:v>
      </x:c>
      <x:c r="N41" s="21" t="n">
        <x:f>L41-E41</x:f>
        <x:v>67.66666666666666</x:v>
      </x:c>
      <x:c r="O41" s="6" t="str">
        <x:v>ACT-4.4.3-03</x:v>
      </x:c>
    </x:row>
    <x:row r="42" ht="40" customHeight="1">
      <x:c r="A42" s="6" t="str">
        <x:v>ACT-6.3-01</x:v>
      </x:c>
      <x:c r="B42" s="6" t="str">
        <x:v>Quang Anh</x:v>
      </x:c>
      <x:c r="C42" s="21" t="n">
        <x:f>'Activities'!D42</x:f>
        <x:v>12</x:v>
      </x:c>
      <x:c r="D42" s="21" t="n">
        <x:f>C42/'Calendar'!$B$7</x:f>
        <x:v>6</x:v>
      </x:c>
      <x:c r="E42" s="21" t="n">
        <x:f>MAX(F41,F16)</x:f>
        <x:v>77.5</x:v>
      </x:c>
      <x:c r="F42" s="21" t="n">
        <x:f>E42+D42</x:f>
        <x:v>83.5</x:v>
      </x:c>
      <x:c r="G42" s="21" t="n">
        <x:f>H42-D42</x:f>
        <x:v>77.5</x:v>
      </x:c>
      <x:c r="H42" s="21" t="n">
        <x:f>MAX($F$8:$F$42)</x:f>
        <x:v>83.5</x:v>
      </x:c>
      <x:c r="I42" s="21" t="n">
        <x:f>G42-E42</x:f>
        <x:v>0</x:v>
      </x:c>
      <x:c r="J42" s="21" t="n">
        <x:f>MAX($F$8:$F$42)-F42</x:f>
        <x:v>0</x:v>
      </x:c>
      <x:c r="K42" s="21" t="str">
        <x:f>IF(ABS(I42)&lt;0.000001,"Có","Không")</x:f>
        <x:v>Có</x:v>
      </x:c>
      <x:c r="L42" s="21" t="n">
        <x:f>MAX(M41,M16,M41)</x:f>
        <x:v>145.16666666666666</x:v>
      </x:c>
      <x:c r="M42" s="21" t="n">
        <x:f>L42+D42</x:f>
        <x:v>151.16666666666666</x:v>
      </x:c>
      <x:c r="N42" s="21" t="n">
        <x:f>L42-E42</x:f>
        <x:v>67.66666666666666</x:v>
      </x:c>
      <x:c r="O42" s="6" t="str">
        <x:v>ACT-6.2-01</x:v>
      </x:c>
    </x:row>
  </x:sheetData>
  <x:conditionalFormatting sqref="N8:N42">
    <x:cfRule type="expression" dxfId="0" priority="1">
      <x:formula>$N8&gt;0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  <x:c r="AI1" s="14"/>
    </x:row>
    <x:row r="2">
      <x:c r="A2" s="15" t="str">
        <x:v>P10 — Gantt công suất tuần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</x:row>
    <x:row r="3">
      <x:c r="A3" s="14" t="str">
        <x:v>Dự thảo 24/09/2026. Thiếu xác nhận độc lập hoặc nghiệm thu sản phẩm.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</x:row>
    <x:row r="4">
      <x:c r="A4" s="16" t="str">
        <x:v>Nguồn: A_01/A_02, B_01/B_02, C_01/C_02 và bộ quyết định thống nhất ngày 24/09/2026.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</x:row>
    <x:row r="5">
      <x:c r="A5" s="14" t="str">
        <x:v>San bằng 1 hoạt động/người, 2h/ngày. Tuần = 5 ngày làm việc từ ngày forecast; PP/ngày lễ chưa có lịch. Đây không phải ETC.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</x:row>
    <x:row r="7" ht="40" customHeight="1">
      <x:c r="A7" s="20" t="str">
        <x:v>Hoạt động</x:v>
      </x:c>
      <x:c r="B7" s="20" t="str">
        <x:v>Chủ</x:v>
      </x:c>
      <x:c r="C7" s="20" t="str">
        <x:v>Bắt đầu forecast</x:v>
      </x:c>
      <x:c r="D7" s="20" t="str">
        <x:v>Kết thúc forecast</x:v>
      </x:c>
      <x:c r="E7" s="20" t="str">
        <x:v>Tuần 1 (giờ)</x:v>
      </x:c>
      <x:c r="F7" s="20" t="str">
        <x:v>Tuần 2 (giờ)</x:v>
      </x:c>
      <x:c r="G7" s="20" t="str">
        <x:v>Tuần 3 (giờ)</x:v>
      </x:c>
      <x:c r="H7" s="20" t="str">
        <x:v>Tuần 4 (giờ)</x:v>
      </x:c>
      <x:c r="I7" s="20" t="str">
        <x:v>Tuần 5 (giờ)</x:v>
      </x:c>
      <x:c r="J7" s="20" t="str">
        <x:v>Tuần 6 (giờ)</x:v>
      </x:c>
      <x:c r="K7" s="20" t="str">
        <x:v>Tuần 7 (giờ)</x:v>
      </x:c>
      <x:c r="L7" s="20" t="str">
        <x:v>Tuần 8 (giờ)</x:v>
      </x:c>
      <x:c r="M7" s="20" t="str">
        <x:v>Tuần 9 (giờ)</x:v>
      </x:c>
      <x:c r="N7" s="20" t="str">
        <x:v>Tuần 10 (giờ)</x:v>
      </x:c>
      <x:c r="O7" s="20" t="str">
        <x:v>Tuần 11 (giờ)</x:v>
      </x:c>
      <x:c r="P7" s="20" t="str">
        <x:v>Tuần 12 (giờ)</x:v>
      </x:c>
      <x:c r="Q7" s="20" t="str">
        <x:v>Tuần 13 (giờ)</x:v>
      </x:c>
      <x:c r="R7" s="20" t="str">
        <x:v>Tuần 14 (giờ)</x:v>
      </x:c>
      <x:c r="S7" s="20" t="str">
        <x:v>Tuần 15 (giờ)</x:v>
      </x:c>
      <x:c r="T7" s="20" t="str">
        <x:v>Tuần 16 (giờ)</x:v>
      </x:c>
      <x:c r="U7" s="20" t="str">
        <x:v>Tuần 17 (giờ)</x:v>
      </x:c>
      <x:c r="V7" s="20" t="str">
        <x:v>Tuần 18 (giờ)</x:v>
      </x:c>
      <x:c r="W7" s="20" t="str">
        <x:v>Tuần 19 (giờ)</x:v>
      </x:c>
      <x:c r="X7" s="20" t="str">
        <x:v>Tuần 20 (giờ)</x:v>
      </x:c>
      <x:c r="Y7" s="20" t="str">
        <x:v>Tuần 21 (giờ)</x:v>
      </x:c>
      <x:c r="Z7" s="20" t="str">
        <x:v>Tuần 22 (giờ)</x:v>
      </x:c>
      <x:c r="AA7" s="20" t="str">
        <x:v>Tuần 23 (giờ)</x:v>
      </x:c>
      <x:c r="AB7" s="20" t="str">
        <x:v>Tuần 24 (giờ)</x:v>
      </x:c>
      <x:c r="AC7" s="20" t="str">
        <x:v>Tuần 25 (giờ)</x:v>
      </x:c>
      <x:c r="AD7" s="20" t="str">
        <x:v>Tuần 26 (giờ)</x:v>
      </x:c>
      <x:c r="AE7" s="20" t="str">
        <x:v>Tuần 27 (giờ)</x:v>
      </x:c>
      <x:c r="AF7" s="20" t="str">
        <x:v>Tuần 28 (giờ)</x:v>
      </x:c>
      <x:c r="AG7" s="20" t="str">
        <x:v>Tuần 29 (giờ)</x:v>
      </x:c>
      <x:c r="AH7" s="20" t="str">
        <x:v>Tuần 30 (giờ)</x:v>
      </x:c>
      <x:c r="AI7" s="20" t="str">
        <x:v>Tuần 31 (giờ)</x:v>
      </x:c>
    </x:row>
    <x:row r="8" ht="35" customHeight="1">
      <x:c r="A8" s="6" t="str">
        <x:v>ACT-1.1-01</x:v>
      </x:c>
      <x:c r="B8" s="6" t="str">
        <x:v>Chiến</x:v>
      </x:c>
      <x:c r="C8" s="7" t="n">
        <x:f>WORKDAY('Calendar'!$B$4-1,INT('CPM'!L8)+1)</x:f>
        <x:v>46289</x:v>
      </x:c>
      <x:c r="D8" s="7" t="n">
        <x:f>WORKDAY('Calendar'!$B$4-1,MAX(1,ROUNDUP('CPM'!M8,0)))</x:f>
        <x:v>46304</x:v>
      </x:c>
      <x:c r="E8" s="21" t="n">
        <x:f>MAX(0,MIN('CPM'!M8,5)-MAX('CPM'!L8,0))*'Calendar'!$B$7</x:f>
        <x:v>10</x:v>
      </x:c>
      <x:c r="F8" s="21" t="n">
        <x:f>MAX(0,MIN('CPM'!M8,10)-MAX('CPM'!L8,5))*'Calendar'!$B$7</x:f>
        <x:v>10</x:v>
      </x:c>
      <x:c r="G8" s="21" t="n">
        <x:f>MAX(0,MIN('CPM'!M8,15)-MAX('CPM'!L8,10))*'Calendar'!$B$7</x:f>
        <x:v>3</x:v>
      </x:c>
      <x:c r="H8" s="21" t="n">
        <x:f>MAX(0,MIN('CPM'!M8,20)-MAX('CPM'!L8,15))*'Calendar'!$B$7</x:f>
        <x:v>0</x:v>
      </x:c>
      <x:c r="I8" s="21" t="n">
        <x:f>MAX(0,MIN('CPM'!M8,25)-MAX('CPM'!L8,20))*'Calendar'!$B$7</x:f>
        <x:v>0</x:v>
      </x:c>
      <x:c r="J8" s="21" t="n">
        <x:f>MAX(0,MIN('CPM'!M8,30)-MAX('CPM'!L8,25))*'Calendar'!$B$7</x:f>
        <x:v>0</x:v>
      </x:c>
      <x:c r="K8" s="21" t="n">
        <x:f>MAX(0,MIN('CPM'!M8,35)-MAX('CPM'!L8,30))*'Calendar'!$B$7</x:f>
        <x:v>0</x:v>
      </x:c>
      <x:c r="L8" s="21" t="n">
        <x:f>MAX(0,MIN('CPM'!M8,40)-MAX('CPM'!L8,35))*'Calendar'!$B$7</x:f>
        <x:v>0</x:v>
      </x:c>
      <x:c r="M8" s="21" t="n">
        <x:f>MAX(0,MIN('CPM'!M8,45)-MAX('CPM'!L8,40))*'Calendar'!$B$7</x:f>
        <x:v>0</x:v>
      </x:c>
      <x:c r="N8" s="21" t="n">
        <x:f>MAX(0,MIN('CPM'!M8,50)-MAX('CPM'!L8,45))*'Calendar'!$B$7</x:f>
        <x:v>0</x:v>
      </x:c>
      <x:c r="O8" s="21" t="n">
        <x:f>MAX(0,MIN('CPM'!M8,55)-MAX('CPM'!L8,50))*'Calendar'!$B$7</x:f>
        <x:v>0</x:v>
      </x:c>
      <x:c r="P8" s="21" t="n">
        <x:f>MAX(0,MIN('CPM'!M8,60)-MAX('CPM'!L8,55))*'Calendar'!$B$7</x:f>
        <x:v>0</x:v>
      </x:c>
      <x:c r="Q8" s="21" t="n">
        <x:f>MAX(0,MIN('CPM'!M8,65)-MAX('CPM'!L8,60))*'Calendar'!$B$7</x:f>
        <x:v>0</x:v>
      </x:c>
      <x:c r="R8" s="21" t="n">
        <x:f>MAX(0,MIN('CPM'!M8,70)-MAX('CPM'!L8,65))*'Calendar'!$B$7</x:f>
        <x:v>0</x:v>
      </x:c>
      <x:c r="S8" s="21" t="n">
        <x:f>MAX(0,MIN('CPM'!M8,75)-MAX('CPM'!L8,70))*'Calendar'!$B$7</x:f>
        <x:v>0</x:v>
      </x:c>
      <x:c r="T8" s="21" t="n">
        <x:f>MAX(0,MIN('CPM'!M8,80)-MAX('CPM'!L8,75))*'Calendar'!$B$7</x:f>
        <x:v>0</x:v>
      </x:c>
      <x:c r="U8" s="21" t="n">
        <x:f>MAX(0,MIN('CPM'!M8,85)-MAX('CPM'!L8,80))*'Calendar'!$B$7</x:f>
        <x:v>0</x:v>
      </x:c>
      <x:c r="V8" s="21" t="n">
        <x:f>MAX(0,MIN('CPM'!M8,90)-MAX('CPM'!L8,85))*'Calendar'!$B$7</x:f>
        <x:v>0</x:v>
      </x:c>
      <x:c r="W8" s="21" t="n">
        <x:f>MAX(0,MIN('CPM'!M8,95)-MAX('CPM'!L8,90))*'Calendar'!$B$7</x:f>
        <x:v>0</x:v>
      </x:c>
      <x:c r="X8" s="21" t="n">
        <x:f>MAX(0,MIN('CPM'!M8,100)-MAX('CPM'!L8,95))*'Calendar'!$B$7</x:f>
        <x:v>0</x:v>
      </x:c>
      <x:c r="Y8" s="21" t="n">
        <x:f>MAX(0,MIN('CPM'!M8,105)-MAX('CPM'!L8,100))*'Calendar'!$B$7</x:f>
        <x:v>0</x:v>
      </x:c>
      <x:c r="Z8" s="21" t="n">
        <x:f>MAX(0,MIN('CPM'!M8,110)-MAX('CPM'!L8,105))*'Calendar'!$B$7</x:f>
        <x:v>0</x:v>
      </x:c>
      <x:c r="AA8" s="21" t="n">
        <x:f>MAX(0,MIN('CPM'!M8,115)-MAX('CPM'!L8,110))*'Calendar'!$B$7</x:f>
        <x:v>0</x:v>
      </x:c>
      <x:c r="AB8" s="21" t="n">
        <x:f>MAX(0,MIN('CPM'!M8,120)-MAX('CPM'!L8,115))*'Calendar'!$B$7</x:f>
        <x:v>0</x:v>
      </x:c>
      <x:c r="AC8" s="21" t="n">
        <x:f>MAX(0,MIN('CPM'!M8,125)-MAX('CPM'!L8,120))*'Calendar'!$B$7</x:f>
        <x:v>0</x:v>
      </x:c>
      <x:c r="AD8" s="21" t="n">
        <x:f>MAX(0,MIN('CPM'!M8,130)-MAX('CPM'!L8,125))*'Calendar'!$B$7</x:f>
        <x:v>0</x:v>
      </x:c>
      <x:c r="AE8" s="21" t="n">
        <x:f>MAX(0,MIN('CPM'!M8,135)-MAX('CPM'!L8,130))*'Calendar'!$B$7</x:f>
        <x:v>0</x:v>
      </x:c>
      <x:c r="AF8" s="21" t="n">
        <x:f>MAX(0,MIN('CPM'!M8,140)-MAX('CPM'!L8,135))*'Calendar'!$B$7</x:f>
        <x:v>0</x:v>
      </x:c>
      <x:c r="AG8" s="21" t="n">
        <x:f>MAX(0,MIN('CPM'!M8,145)-MAX('CPM'!L8,140))*'Calendar'!$B$7</x:f>
        <x:v>0</x:v>
      </x:c>
      <x:c r="AH8" s="21" t="n">
        <x:f>MAX(0,MIN('CPM'!M8,150)-MAX('CPM'!L8,145))*'Calendar'!$B$7</x:f>
        <x:v>0</x:v>
      </x:c>
      <x:c r="AI8" s="21" t="n">
        <x:f>MAX(0,MIN('CPM'!M8,155)-MAX('CPM'!L8,150))*'Calendar'!$B$7</x:f>
        <x:v>0</x:v>
      </x:c>
    </x:row>
    <x:row r="9" ht="35" customHeight="1">
      <x:c r="A9" s="6" t="str">
        <x:v>ACT-2.1-01</x:v>
      </x:c>
      <x:c r="B9" s="6" t="str">
        <x:v>Chiến</x:v>
      </x:c>
      <x:c r="C9" s="7" t="n">
        <x:f>WORKDAY('Calendar'!$B$4-1,INT('CPM'!L9)+1)</x:f>
        <x:v>46304</x:v>
      </x:c>
      <x:c r="D9" s="7" t="n">
        <x:f>WORKDAY('Calendar'!$B$4-1,MAX(1,ROUNDUP('CPM'!M9,0)))</x:f>
        <x:v>46314</x:v>
      </x:c>
      <x:c r="E9" s="21" t="n">
        <x:f>MAX(0,MIN('CPM'!M9,5)-MAX('CPM'!L9,0))*'Calendar'!$B$7</x:f>
        <x:v>0</x:v>
      </x:c>
      <x:c r="F9" s="21" t="n">
        <x:f>MAX(0,MIN('CPM'!M9,10)-MAX('CPM'!L9,5))*'Calendar'!$B$7</x:f>
        <x:v>0</x:v>
      </x:c>
      <x:c r="G9" s="21" t="n">
        <x:f>MAX(0,MIN('CPM'!M9,15)-MAX('CPM'!L9,10))*'Calendar'!$B$7</x:f>
        <x:v>7</x:v>
      </x:c>
      <x:c r="H9" s="21" t="n">
        <x:f>MAX(0,MIN('CPM'!M9,20)-MAX('CPM'!L9,15))*'Calendar'!$B$7</x:f>
        <x:v>5</x:v>
      </x:c>
      <x:c r="I9" s="21" t="n">
        <x:f>MAX(0,MIN('CPM'!M9,25)-MAX('CPM'!L9,20))*'Calendar'!$B$7</x:f>
        <x:v>0</x:v>
      </x:c>
      <x:c r="J9" s="21" t="n">
        <x:f>MAX(0,MIN('CPM'!M9,30)-MAX('CPM'!L9,25))*'Calendar'!$B$7</x:f>
        <x:v>0</x:v>
      </x:c>
      <x:c r="K9" s="21" t="n">
        <x:f>MAX(0,MIN('CPM'!M9,35)-MAX('CPM'!L9,30))*'Calendar'!$B$7</x:f>
        <x:v>0</x:v>
      </x:c>
      <x:c r="L9" s="21" t="n">
        <x:f>MAX(0,MIN('CPM'!M9,40)-MAX('CPM'!L9,35))*'Calendar'!$B$7</x:f>
        <x:v>0</x:v>
      </x:c>
      <x:c r="M9" s="21" t="n">
        <x:f>MAX(0,MIN('CPM'!M9,45)-MAX('CPM'!L9,40))*'Calendar'!$B$7</x:f>
        <x:v>0</x:v>
      </x:c>
      <x:c r="N9" s="21" t="n">
        <x:f>MAX(0,MIN('CPM'!M9,50)-MAX('CPM'!L9,45))*'Calendar'!$B$7</x:f>
        <x:v>0</x:v>
      </x:c>
      <x:c r="O9" s="21" t="n">
        <x:f>MAX(0,MIN('CPM'!M9,55)-MAX('CPM'!L9,50))*'Calendar'!$B$7</x:f>
        <x:v>0</x:v>
      </x:c>
      <x:c r="P9" s="21" t="n">
        <x:f>MAX(0,MIN('CPM'!M9,60)-MAX('CPM'!L9,55))*'Calendar'!$B$7</x:f>
        <x:v>0</x:v>
      </x:c>
      <x:c r="Q9" s="21" t="n">
        <x:f>MAX(0,MIN('CPM'!M9,65)-MAX('CPM'!L9,60))*'Calendar'!$B$7</x:f>
        <x:v>0</x:v>
      </x:c>
      <x:c r="R9" s="21" t="n">
        <x:f>MAX(0,MIN('CPM'!M9,70)-MAX('CPM'!L9,65))*'Calendar'!$B$7</x:f>
        <x:v>0</x:v>
      </x:c>
      <x:c r="S9" s="21" t="n">
        <x:f>MAX(0,MIN('CPM'!M9,75)-MAX('CPM'!L9,70))*'Calendar'!$B$7</x:f>
        <x:v>0</x:v>
      </x:c>
      <x:c r="T9" s="21" t="n">
        <x:f>MAX(0,MIN('CPM'!M9,80)-MAX('CPM'!L9,75))*'Calendar'!$B$7</x:f>
        <x:v>0</x:v>
      </x:c>
      <x:c r="U9" s="21" t="n">
        <x:f>MAX(0,MIN('CPM'!M9,85)-MAX('CPM'!L9,80))*'Calendar'!$B$7</x:f>
        <x:v>0</x:v>
      </x:c>
      <x:c r="V9" s="21" t="n">
        <x:f>MAX(0,MIN('CPM'!M9,90)-MAX('CPM'!L9,85))*'Calendar'!$B$7</x:f>
        <x:v>0</x:v>
      </x:c>
      <x:c r="W9" s="21" t="n">
        <x:f>MAX(0,MIN('CPM'!M9,95)-MAX('CPM'!L9,90))*'Calendar'!$B$7</x:f>
        <x:v>0</x:v>
      </x:c>
      <x:c r="X9" s="21" t="n">
        <x:f>MAX(0,MIN('CPM'!M9,100)-MAX('CPM'!L9,95))*'Calendar'!$B$7</x:f>
        <x:v>0</x:v>
      </x:c>
      <x:c r="Y9" s="21" t="n">
        <x:f>MAX(0,MIN('CPM'!M9,105)-MAX('CPM'!L9,100))*'Calendar'!$B$7</x:f>
        <x:v>0</x:v>
      </x:c>
      <x:c r="Z9" s="21" t="n">
        <x:f>MAX(0,MIN('CPM'!M9,110)-MAX('CPM'!L9,105))*'Calendar'!$B$7</x:f>
        <x:v>0</x:v>
      </x:c>
      <x:c r="AA9" s="21" t="n">
        <x:f>MAX(0,MIN('CPM'!M9,115)-MAX('CPM'!L9,110))*'Calendar'!$B$7</x:f>
        <x:v>0</x:v>
      </x:c>
      <x:c r="AB9" s="21" t="n">
        <x:f>MAX(0,MIN('CPM'!M9,120)-MAX('CPM'!L9,115))*'Calendar'!$B$7</x:f>
        <x:v>0</x:v>
      </x:c>
      <x:c r="AC9" s="21" t="n">
        <x:f>MAX(0,MIN('CPM'!M9,125)-MAX('CPM'!L9,120))*'Calendar'!$B$7</x:f>
        <x:v>0</x:v>
      </x:c>
      <x:c r="AD9" s="21" t="n">
        <x:f>MAX(0,MIN('CPM'!M9,130)-MAX('CPM'!L9,125))*'Calendar'!$B$7</x:f>
        <x:v>0</x:v>
      </x:c>
      <x:c r="AE9" s="21" t="n">
        <x:f>MAX(0,MIN('CPM'!M9,135)-MAX('CPM'!L9,130))*'Calendar'!$B$7</x:f>
        <x:v>0</x:v>
      </x:c>
      <x:c r="AF9" s="21" t="n">
        <x:f>MAX(0,MIN('CPM'!M9,140)-MAX('CPM'!L9,135))*'Calendar'!$B$7</x:f>
        <x:v>0</x:v>
      </x:c>
      <x:c r="AG9" s="21" t="n">
        <x:f>MAX(0,MIN('CPM'!M9,145)-MAX('CPM'!L9,140))*'Calendar'!$B$7</x:f>
        <x:v>0</x:v>
      </x:c>
      <x:c r="AH9" s="21" t="n">
        <x:f>MAX(0,MIN('CPM'!M9,150)-MAX('CPM'!L9,145))*'Calendar'!$B$7</x:f>
        <x:v>0</x:v>
      </x:c>
      <x:c r="AI9" s="21" t="n">
        <x:f>MAX(0,MIN('CPM'!M9,155)-MAX('CPM'!L9,150))*'Calendar'!$B$7</x:f>
        <x:v>0</x:v>
      </x:c>
    </x:row>
    <x:row r="10" ht="35" customHeight="1">
      <x:c r="A10" s="6" t="str">
        <x:v>ACT-3.1-01</x:v>
      </x:c>
      <x:c r="B10" s="6" t="str">
        <x:v>Chiến</x:v>
      </x:c>
      <x:c r="C10" s="7" t="n">
        <x:f>WORKDAY('Calendar'!$B$4-1,INT('CPM'!L10)+1)</x:f>
        <x:v>46314</x:v>
      </x:c>
      <x:c r="D10" s="7" t="n">
        <x:f>WORKDAY('Calendar'!$B$4-1,MAX(1,ROUNDUP('CPM'!M10,0)))</x:f>
        <x:v>46321</x:v>
      </x:c>
      <x:c r="E10" s="21" t="n">
        <x:f>MAX(0,MIN('CPM'!M10,5)-MAX('CPM'!L10,0))*'Calendar'!$B$7</x:f>
        <x:v>0</x:v>
      </x:c>
      <x:c r="F10" s="21" t="n">
        <x:f>MAX(0,MIN('CPM'!M10,10)-MAX('CPM'!L10,5))*'Calendar'!$B$7</x:f>
        <x:v>0</x:v>
      </x:c>
      <x:c r="G10" s="21" t="n">
        <x:f>MAX(0,MIN('CPM'!M10,15)-MAX('CPM'!L10,10))*'Calendar'!$B$7</x:f>
        <x:v>0</x:v>
      </x:c>
      <x:c r="H10" s="21" t="n">
        <x:f>MAX(0,MIN('CPM'!M10,20)-MAX('CPM'!L10,15))*'Calendar'!$B$7</x:f>
        <x:v>5</x:v>
      </x:c>
      <x:c r="I10" s="21" t="n">
        <x:f>MAX(0,MIN('CPM'!M10,25)-MAX('CPM'!L10,20))*'Calendar'!$B$7</x:f>
        <x:v>5</x:v>
      </x:c>
      <x:c r="J10" s="21" t="n">
        <x:f>MAX(0,MIN('CPM'!M10,30)-MAX('CPM'!L10,25))*'Calendar'!$B$7</x:f>
        <x:v>0</x:v>
      </x:c>
      <x:c r="K10" s="21" t="n">
        <x:f>MAX(0,MIN('CPM'!M10,35)-MAX('CPM'!L10,30))*'Calendar'!$B$7</x:f>
        <x:v>0</x:v>
      </x:c>
      <x:c r="L10" s="21" t="n">
        <x:f>MAX(0,MIN('CPM'!M10,40)-MAX('CPM'!L10,35))*'Calendar'!$B$7</x:f>
        <x:v>0</x:v>
      </x:c>
      <x:c r="M10" s="21" t="n">
        <x:f>MAX(0,MIN('CPM'!M10,45)-MAX('CPM'!L10,40))*'Calendar'!$B$7</x:f>
        <x:v>0</x:v>
      </x:c>
      <x:c r="N10" s="21" t="n">
        <x:f>MAX(0,MIN('CPM'!M10,50)-MAX('CPM'!L10,45))*'Calendar'!$B$7</x:f>
        <x:v>0</x:v>
      </x:c>
      <x:c r="O10" s="21" t="n">
        <x:f>MAX(0,MIN('CPM'!M10,55)-MAX('CPM'!L10,50))*'Calendar'!$B$7</x:f>
        <x:v>0</x:v>
      </x:c>
      <x:c r="P10" s="21" t="n">
        <x:f>MAX(0,MIN('CPM'!M10,60)-MAX('CPM'!L10,55))*'Calendar'!$B$7</x:f>
        <x:v>0</x:v>
      </x:c>
      <x:c r="Q10" s="21" t="n">
        <x:f>MAX(0,MIN('CPM'!M10,65)-MAX('CPM'!L10,60))*'Calendar'!$B$7</x:f>
        <x:v>0</x:v>
      </x:c>
      <x:c r="R10" s="21" t="n">
        <x:f>MAX(0,MIN('CPM'!M10,70)-MAX('CPM'!L10,65))*'Calendar'!$B$7</x:f>
        <x:v>0</x:v>
      </x:c>
      <x:c r="S10" s="21" t="n">
        <x:f>MAX(0,MIN('CPM'!M10,75)-MAX('CPM'!L10,70))*'Calendar'!$B$7</x:f>
        <x:v>0</x:v>
      </x:c>
      <x:c r="T10" s="21" t="n">
        <x:f>MAX(0,MIN('CPM'!M10,80)-MAX('CPM'!L10,75))*'Calendar'!$B$7</x:f>
        <x:v>0</x:v>
      </x:c>
      <x:c r="U10" s="21" t="n">
        <x:f>MAX(0,MIN('CPM'!M10,85)-MAX('CPM'!L10,80))*'Calendar'!$B$7</x:f>
        <x:v>0</x:v>
      </x:c>
      <x:c r="V10" s="21" t="n">
        <x:f>MAX(0,MIN('CPM'!M10,90)-MAX('CPM'!L10,85))*'Calendar'!$B$7</x:f>
        <x:v>0</x:v>
      </x:c>
      <x:c r="W10" s="21" t="n">
        <x:f>MAX(0,MIN('CPM'!M10,95)-MAX('CPM'!L10,90))*'Calendar'!$B$7</x:f>
        <x:v>0</x:v>
      </x:c>
      <x:c r="X10" s="21" t="n">
        <x:f>MAX(0,MIN('CPM'!M10,100)-MAX('CPM'!L10,95))*'Calendar'!$B$7</x:f>
        <x:v>0</x:v>
      </x:c>
      <x:c r="Y10" s="21" t="n">
        <x:f>MAX(0,MIN('CPM'!M10,105)-MAX('CPM'!L10,100))*'Calendar'!$B$7</x:f>
        <x:v>0</x:v>
      </x:c>
      <x:c r="Z10" s="21" t="n">
        <x:f>MAX(0,MIN('CPM'!M10,110)-MAX('CPM'!L10,105))*'Calendar'!$B$7</x:f>
        <x:v>0</x:v>
      </x:c>
      <x:c r="AA10" s="21" t="n">
        <x:f>MAX(0,MIN('CPM'!M10,115)-MAX('CPM'!L10,110))*'Calendar'!$B$7</x:f>
        <x:v>0</x:v>
      </x:c>
      <x:c r="AB10" s="21" t="n">
        <x:f>MAX(0,MIN('CPM'!M10,120)-MAX('CPM'!L10,115))*'Calendar'!$B$7</x:f>
        <x:v>0</x:v>
      </x:c>
      <x:c r="AC10" s="21" t="n">
        <x:f>MAX(0,MIN('CPM'!M10,125)-MAX('CPM'!L10,120))*'Calendar'!$B$7</x:f>
        <x:v>0</x:v>
      </x:c>
      <x:c r="AD10" s="21" t="n">
        <x:f>MAX(0,MIN('CPM'!M10,130)-MAX('CPM'!L10,125))*'Calendar'!$B$7</x:f>
        <x:v>0</x:v>
      </x:c>
      <x:c r="AE10" s="21" t="n">
        <x:f>MAX(0,MIN('CPM'!M10,135)-MAX('CPM'!L10,130))*'Calendar'!$B$7</x:f>
        <x:v>0</x:v>
      </x:c>
      <x:c r="AF10" s="21" t="n">
        <x:f>MAX(0,MIN('CPM'!M10,140)-MAX('CPM'!L10,135))*'Calendar'!$B$7</x:f>
        <x:v>0</x:v>
      </x:c>
      <x:c r="AG10" s="21" t="n">
        <x:f>MAX(0,MIN('CPM'!M10,145)-MAX('CPM'!L10,140))*'Calendar'!$B$7</x:f>
        <x:v>0</x:v>
      </x:c>
      <x:c r="AH10" s="21" t="n">
        <x:f>MAX(0,MIN('CPM'!M10,150)-MAX('CPM'!L10,145))*'Calendar'!$B$7</x:f>
        <x:v>0</x:v>
      </x:c>
      <x:c r="AI10" s="21" t="n">
        <x:f>MAX(0,MIN('CPM'!M10,155)-MAX('CPM'!L10,150))*'Calendar'!$B$7</x:f>
        <x:v>0</x:v>
      </x:c>
    </x:row>
    <x:row r="11" ht="35" customHeight="1">
      <x:c r="A11" s="6" t="str">
        <x:v>ACT-3.2-01</x:v>
      </x:c>
      <x:c r="B11" s="6" t="str">
        <x:v>Chiến</x:v>
      </x:c>
      <x:c r="C11" s="7" t="n">
        <x:f>WORKDAY('Calendar'!$B$4-1,INT('CPM'!L11)+1)</x:f>
        <x:v>46321</x:v>
      </x:c>
      <x:c r="D11" s="7" t="n">
        <x:f>WORKDAY('Calendar'!$B$4-1,MAX(1,ROUNDUP('CPM'!M11,0)))</x:f>
        <x:v>46337</x:v>
      </x:c>
      <x:c r="E11" s="21" t="n">
        <x:f>MAX(0,MIN('CPM'!M11,5)-MAX('CPM'!L11,0))*'Calendar'!$B$7</x:f>
        <x:v>0</x:v>
      </x:c>
      <x:c r="F11" s="21" t="n">
        <x:f>MAX(0,MIN('CPM'!M11,10)-MAX('CPM'!L11,5))*'Calendar'!$B$7</x:f>
        <x:v>0</x:v>
      </x:c>
      <x:c r="G11" s="21" t="n">
        <x:f>MAX(0,MIN('CPM'!M11,15)-MAX('CPM'!L11,10))*'Calendar'!$B$7</x:f>
        <x:v>0</x:v>
      </x:c>
      <x:c r="H11" s="21" t="n">
        <x:f>MAX(0,MIN('CPM'!M11,20)-MAX('CPM'!L11,15))*'Calendar'!$B$7</x:f>
        <x:v>0</x:v>
      </x:c>
      <x:c r="I11" s="21" t="n">
        <x:f>MAX(0,MIN('CPM'!M11,25)-MAX('CPM'!L11,20))*'Calendar'!$B$7</x:f>
        <x:v>5</x:v>
      </x:c>
      <x:c r="J11" s="21" t="n">
        <x:f>MAX(0,MIN('CPM'!M11,30)-MAX('CPM'!L11,25))*'Calendar'!$B$7</x:f>
        <x:v>10</x:v>
      </x:c>
      <x:c r="K11" s="21" t="n">
        <x:f>MAX(0,MIN('CPM'!M11,35)-MAX('CPM'!L11,30))*'Calendar'!$B$7</x:f>
        <x:v>8.333333333333329</x:v>
      </x:c>
      <x:c r="L11" s="21" t="n">
        <x:f>MAX(0,MIN('CPM'!M11,40)-MAX('CPM'!L11,35))*'Calendar'!$B$7</x:f>
        <x:v>0</x:v>
      </x:c>
      <x:c r="M11" s="21" t="n">
        <x:f>MAX(0,MIN('CPM'!M11,45)-MAX('CPM'!L11,40))*'Calendar'!$B$7</x:f>
        <x:v>0</x:v>
      </x:c>
      <x:c r="N11" s="21" t="n">
        <x:f>MAX(0,MIN('CPM'!M11,50)-MAX('CPM'!L11,45))*'Calendar'!$B$7</x:f>
        <x:v>0</x:v>
      </x:c>
      <x:c r="O11" s="21" t="n">
        <x:f>MAX(0,MIN('CPM'!M11,55)-MAX('CPM'!L11,50))*'Calendar'!$B$7</x:f>
        <x:v>0</x:v>
      </x:c>
      <x:c r="P11" s="21" t="n">
        <x:f>MAX(0,MIN('CPM'!M11,60)-MAX('CPM'!L11,55))*'Calendar'!$B$7</x:f>
        <x:v>0</x:v>
      </x:c>
      <x:c r="Q11" s="21" t="n">
        <x:f>MAX(0,MIN('CPM'!M11,65)-MAX('CPM'!L11,60))*'Calendar'!$B$7</x:f>
        <x:v>0</x:v>
      </x:c>
      <x:c r="R11" s="21" t="n">
        <x:f>MAX(0,MIN('CPM'!M11,70)-MAX('CPM'!L11,65))*'Calendar'!$B$7</x:f>
        <x:v>0</x:v>
      </x:c>
      <x:c r="S11" s="21" t="n">
        <x:f>MAX(0,MIN('CPM'!M11,75)-MAX('CPM'!L11,70))*'Calendar'!$B$7</x:f>
        <x:v>0</x:v>
      </x:c>
      <x:c r="T11" s="21" t="n">
        <x:f>MAX(0,MIN('CPM'!M11,80)-MAX('CPM'!L11,75))*'Calendar'!$B$7</x:f>
        <x:v>0</x:v>
      </x:c>
      <x:c r="U11" s="21" t="n">
        <x:f>MAX(0,MIN('CPM'!M11,85)-MAX('CPM'!L11,80))*'Calendar'!$B$7</x:f>
        <x:v>0</x:v>
      </x:c>
      <x:c r="V11" s="21" t="n">
        <x:f>MAX(0,MIN('CPM'!M11,90)-MAX('CPM'!L11,85))*'Calendar'!$B$7</x:f>
        <x:v>0</x:v>
      </x:c>
      <x:c r="W11" s="21" t="n">
        <x:f>MAX(0,MIN('CPM'!M11,95)-MAX('CPM'!L11,90))*'Calendar'!$B$7</x:f>
        <x:v>0</x:v>
      </x:c>
      <x:c r="X11" s="21" t="n">
        <x:f>MAX(0,MIN('CPM'!M11,100)-MAX('CPM'!L11,95))*'Calendar'!$B$7</x:f>
        <x:v>0</x:v>
      </x:c>
      <x:c r="Y11" s="21" t="n">
        <x:f>MAX(0,MIN('CPM'!M11,105)-MAX('CPM'!L11,100))*'Calendar'!$B$7</x:f>
        <x:v>0</x:v>
      </x:c>
      <x:c r="Z11" s="21" t="n">
        <x:f>MAX(0,MIN('CPM'!M11,110)-MAX('CPM'!L11,105))*'Calendar'!$B$7</x:f>
        <x:v>0</x:v>
      </x:c>
      <x:c r="AA11" s="21" t="n">
        <x:f>MAX(0,MIN('CPM'!M11,115)-MAX('CPM'!L11,110))*'Calendar'!$B$7</x:f>
        <x:v>0</x:v>
      </x:c>
      <x:c r="AB11" s="21" t="n">
        <x:f>MAX(0,MIN('CPM'!M11,120)-MAX('CPM'!L11,115))*'Calendar'!$B$7</x:f>
        <x:v>0</x:v>
      </x:c>
      <x:c r="AC11" s="21" t="n">
        <x:f>MAX(0,MIN('CPM'!M11,125)-MAX('CPM'!L11,120))*'Calendar'!$B$7</x:f>
        <x:v>0</x:v>
      </x:c>
      <x:c r="AD11" s="21" t="n">
        <x:f>MAX(0,MIN('CPM'!M11,130)-MAX('CPM'!L11,125))*'Calendar'!$B$7</x:f>
        <x:v>0</x:v>
      </x:c>
      <x:c r="AE11" s="21" t="n">
        <x:f>MAX(0,MIN('CPM'!M11,135)-MAX('CPM'!L11,130))*'Calendar'!$B$7</x:f>
        <x:v>0</x:v>
      </x:c>
      <x:c r="AF11" s="21" t="n">
        <x:f>MAX(0,MIN('CPM'!M11,140)-MAX('CPM'!L11,135))*'Calendar'!$B$7</x:f>
        <x:v>0</x:v>
      </x:c>
      <x:c r="AG11" s="21" t="n">
        <x:f>MAX(0,MIN('CPM'!M11,145)-MAX('CPM'!L11,140))*'Calendar'!$B$7</x:f>
        <x:v>0</x:v>
      </x:c>
      <x:c r="AH11" s="21" t="n">
        <x:f>MAX(0,MIN('CPM'!M11,150)-MAX('CPM'!L11,145))*'Calendar'!$B$7</x:f>
        <x:v>0</x:v>
      </x:c>
      <x:c r="AI11" s="21" t="n">
        <x:f>MAX(0,MIN('CPM'!M11,155)-MAX('CPM'!L11,150))*'Calendar'!$B$7</x:f>
        <x:v>0</x:v>
      </x:c>
    </x:row>
    <x:row r="12" ht="35" customHeight="1">
      <x:c r="A12" s="6" t="str">
        <x:v>ACT-4.2.3-01</x:v>
      </x:c>
      <x:c r="B12" s="6" t="str">
        <x:v>Chiến</x:v>
      </x:c>
      <x:c r="C12" s="7" t="n">
        <x:f>WORKDAY('Calendar'!$B$4-1,INT('CPM'!L12)+1)</x:f>
        <x:v>46337</x:v>
      </x:c>
      <x:c r="D12" s="7" t="n">
        <x:f>WORKDAY('Calendar'!$B$4-1,MAX(1,ROUNDUP('CPM'!M12,0)))</x:f>
        <x:v>46353</x:v>
      </x:c>
      <x:c r="E12" s="21" t="n">
        <x:f>MAX(0,MIN('CPM'!M12,5)-MAX('CPM'!L12,0))*'Calendar'!$B$7</x:f>
        <x:v>0</x:v>
      </x:c>
      <x:c r="F12" s="21" t="n">
        <x:f>MAX(0,MIN('CPM'!M12,10)-MAX('CPM'!L12,5))*'Calendar'!$B$7</x:f>
        <x:v>0</x:v>
      </x:c>
      <x:c r="G12" s="21" t="n">
        <x:f>MAX(0,MIN('CPM'!M12,15)-MAX('CPM'!L12,10))*'Calendar'!$B$7</x:f>
        <x:v>0</x:v>
      </x:c>
      <x:c r="H12" s="21" t="n">
        <x:f>MAX(0,MIN('CPM'!M12,20)-MAX('CPM'!L12,15))*'Calendar'!$B$7</x:f>
        <x:v>0</x:v>
      </x:c>
      <x:c r="I12" s="21" t="n">
        <x:f>MAX(0,MIN('CPM'!M12,25)-MAX('CPM'!L12,20))*'Calendar'!$B$7</x:f>
        <x:v>0</x:v>
      </x:c>
      <x:c r="J12" s="21" t="n">
        <x:f>MAX(0,MIN('CPM'!M12,30)-MAX('CPM'!L12,25))*'Calendar'!$B$7</x:f>
        <x:v>0</x:v>
      </x:c>
      <x:c r="K12" s="21" t="n">
        <x:f>MAX(0,MIN('CPM'!M12,35)-MAX('CPM'!L12,30))*'Calendar'!$B$7</x:f>
        <x:v>1.6666666666666714</x:v>
      </x:c>
      <x:c r="L12" s="21" t="n">
        <x:f>MAX(0,MIN('CPM'!M12,40)-MAX('CPM'!L12,35))*'Calendar'!$B$7</x:f>
        <x:v>10</x:v>
      </x:c>
      <x:c r="M12" s="21" t="n">
        <x:f>MAX(0,MIN('CPM'!M12,45)-MAX('CPM'!L12,40))*'Calendar'!$B$7</x:f>
        <x:v>10</x:v>
      </x:c>
      <x:c r="N12" s="21" t="n">
        <x:f>MAX(0,MIN('CPM'!M12,50)-MAX('CPM'!L12,45))*'Calendar'!$B$7</x:f>
        <x:v>3</x:v>
      </x:c>
      <x:c r="O12" s="21" t="n">
        <x:f>MAX(0,MIN('CPM'!M12,55)-MAX('CPM'!L12,50))*'Calendar'!$B$7</x:f>
        <x:v>0</x:v>
      </x:c>
      <x:c r="P12" s="21" t="n">
        <x:f>MAX(0,MIN('CPM'!M12,60)-MAX('CPM'!L12,55))*'Calendar'!$B$7</x:f>
        <x:v>0</x:v>
      </x:c>
      <x:c r="Q12" s="21" t="n">
        <x:f>MAX(0,MIN('CPM'!M12,65)-MAX('CPM'!L12,60))*'Calendar'!$B$7</x:f>
        <x:v>0</x:v>
      </x:c>
      <x:c r="R12" s="21" t="n">
        <x:f>MAX(0,MIN('CPM'!M12,70)-MAX('CPM'!L12,65))*'Calendar'!$B$7</x:f>
        <x:v>0</x:v>
      </x:c>
      <x:c r="S12" s="21" t="n">
        <x:f>MAX(0,MIN('CPM'!M12,75)-MAX('CPM'!L12,70))*'Calendar'!$B$7</x:f>
        <x:v>0</x:v>
      </x:c>
      <x:c r="T12" s="21" t="n">
        <x:f>MAX(0,MIN('CPM'!M12,80)-MAX('CPM'!L12,75))*'Calendar'!$B$7</x:f>
        <x:v>0</x:v>
      </x:c>
      <x:c r="U12" s="21" t="n">
        <x:f>MAX(0,MIN('CPM'!M12,85)-MAX('CPM'!L12,80))*'Calendar'!$B$7</x:f>
        <x:v>0</x:v>
      </x:c>
      <x:c r="V12" s="21" t="n">
        <x:f>MAX(0,MIN('CPM'!M12,90)-MAX('CPM'!L12,85))*'Calendar'!$B$7</x:f>
        <x:v>0</x:v>
      </x:c>
      <x:c r="W12" s="21" t="n">
        <x:f>MAX(0,MIN('CPM'!M12,95)-MAX('CPM'!L12,90))*'Calendar'!$B$7</x:f>
        <x:v>0</x:v>
      </x:c>
      <x:c r="X12" s="21" t="n">
        <x:f>MAX(0,MIN('CPM'!M12,100)-MAX('CPM'!L12,95))*'Calendar'!$B$7</x:f>
        <x:v>0</x:v>
      </x:c>
      <x:c r="Y12" s="21" t="n">
        <x:f>MAX(0,MIN('CPM'!M12,105)-MAX('CPM'!L12,100))*'Calendar'!$B$7</x:f>
        <x:v>0</x:v>
      </x:c>
      <x:c r="Z12" s="21" t="n">
        <x:f>MAX(0,MIN('CPM'!M12,110)-MAX('CPM'!L12,105))*'Calendar'!$B$7</x:f>
        <x:v>0</x:v>
      </x:c>
      <x:c r="AA12" s="21" t="n">
        <x:f>MAX(0,MIN('CPM'!M12,115)-MAX('CPM'!L12,110))*'Calendar'!$B$7</x:f>
        <x:v>0</x:v>
      </x:c>
      <x:c r="AB12" s="21" t="n">
        <x:f>MAX(0,MIN('CPM'!M12,120)-MAX('CPM'!L12,115))*'Calendar'!$B$7</x:f>
        <x:v>0</x:v>
      </x:c>
      <x:c r="AC12" s="21" t="n">
        <x:f>MAX(0,MIN('CPM'!M12,125)-MAX('CPM'!L12,120))*'Calendar'!$B$7</x:f>
        <x:v>0</x:v>
      </x:c>
      <x:c r="AD12" s="21" t="n">
        <x:f>MAX(0,MIN('CPM'!M12,130)-MAX('CPM'!L12,125))*'Calendar'!$B$7</x:f>
        <x:v>0</x:v>
      </x:c>
      <x:c r="AE12" s="21" t="n">
        <x:f>MAX(0,MIN('CPM'!M12,135)-MAX('CPM'!L12,130))*'Calendar'!$B$7</x:f>
        <x:v>0</x:v>
      </x:c>
      <x:c r="AF12" s="21" t="n">
        <x:f>MAX(0,MIN('CPM'!M12,140)-MAX('CPM'!L12,135))*'Calendar'!$B$7</x:f>
        <x:v>0</x:v>
      </x:c>
      <x:c r="AG12" s="21" t="n">
        <x:f>MAX(0,MIN('CPM'!M12,145)-MAX('CPM'!L12,140))*'Calendar'!$B$7</x:f>
        <x:v>0</x:v>
      </x:c>
      <x:c r="AH12" s="21" t="n">
        <x:f>MAX(0,MIN('CPM'!M12,150)-MAX('CPM'!L12,145))*'Calendar'!$B$7</x:f>
        <x:v>0</x:v>
      </x:c>
      <x:c r="AI12" s="21" t="n">
        <x:f>MAX(0,MIN('CPM'!M12,155)-MAX('CPM'!L12,150))*'Calendar'!$B$7</x:f>
        <x:v>0</x:v>
      </x:c>
    </x:row>
    <x:row r="13" ht="35" customHeight="1">
      <x:c r="A13" s="6" t="str">
        <x:v>ACT-4.2.2-01</x:v>
      </x:c>
      <x:c r="B13" s="6" t="str">
        <x:v>Chiến</x:v>
      </x:c>
      <x:c r="C13" s="7" t="n">
        <x:f>WORKDAY('Calendar'!$B$4-1,INT('CPM'!L13)+1)</x:f>
        <x:v>46353</x:v>
      </x:c>
      <x:c r="D13" s="7" t="n">
        <x:f>WORKDAY('Calendar'!$B$4-1,MAX(1,ROUNDUP('CPM'!M13,0)))</x:f>
        <x:v>46364</x:v>
      </x:c>
      <x:c r="E13" s="21" t="n">
        <x:f>MAX(0,MIN('CPM'!M13,5)-MAX('CPM'!L13,0))*'Calendar'!$B$7</x:f>
        <x:v>0</x:v>
      </x:c>
      <x:c r="F13" s="21" t="n">
        <x:f>MAX(0,MIN('CPM'!M13,10)-MAX('CPM'!L13,5))*'Calendar'!$B$7</x:f>
        <x:v>0</x:v>
      </x:c>
      <x:c r="G13" s="21" t="n">
        <x:f>MAX(0,MIN('CPM'!M13,15)-MAX('CPM'!L13,10))*'Calendar'!$B$7</x:f>
        <x:v>0</x:v>
      </x:c>
      <x:c r="H13" s="21" t="n">
        <x:f>MAX(0,MIN('CPM'!M13,20)-MAX('CPM'!L13,15))*'Calendar'!$B$7</x:f>
        <x:v>0</x:v>
      </x:c>
      <x:c r="I13" s="21" t="n">
        <x:f>MAX(0,MIN('CPM'!M13,25)-MAX('CPM'!L13,20))*'Calendar'!$B$7</x:f>
        <x:v>0</x:v>
      </x:c>
      <x:c r="J13" s="21" t="n">
        <x:f>MAX(0,MIN('CPM'!M13,30)-MAX('CPM'!L13,25))*'Calendar'!$B$7</x:f>
        <x:v>0</x:v>
      </x:c>
      <x:c r="K13" s="21" t="n">
        <x:f>MAX(0,MIN('CPM'!M13,35)-MAX('CPM'!L13,30))*'Calendar'!$B$7</x:f>
        <x:v>0</x:v>
      </x:c>
      <x:c r="L13" s="21" t="n">
        <x:f>MAX(0,MIN('CPM'!M13,40)-MAX('CPM'!L13,35))*'Calendar'!$B$7</x:f>
        <x:v>0</x:v>
      </x:c>
      <x:c r="M13" s="21" t="n">
        <x:f>MAX(0,MIN('CPM'!M13,45)-MAX('CPM'!L13,40))*'Calendar'!$B$7</x:f>
        <x:v>0</x:v>
      </x:c>
      <x:c r="N13" s="21" t="n">
        <x:f>MAX(0,MIN('CPM'!M13,50)-MAX('CPM'!L13,45))*'Calendar'!$B$7</x:f>
        <x:v>7</x:v>
      </x:c>
      <x:c r="O13" s="21" t="n">
        <x:f>MAX(0,MIN('CPM'!M13,55)-MAX('CPM'!L13,50))*'Calendar'!$B$7</x:f>
        <x:v>6.333333333333329</x:v>
      </x:c>
      <x:c r="P13" s="21" t="n">
        <x:f>MAX(0,MIN('CPM'!M13,60)-MAX('CPM'!L13,55))*'Calendar'!$B$7</x:f>
        <x:v>0</x:v>
      </x:c>
      <x:c r="Q13" s="21" t="n">
        <x:f>MAX(0,MIN('CPM'!M13,65)-MAX('CPM'!L13,60))*'Calendar'!$B$7</x:f>
        <x:v>0</x:v>
      </x:c>
      <x:c r="R13" s="21" t="n">
        <x:f>MAX(0,MIN('CPM'!M13,70)-MAX('CPM'!L13,65))*'Calendar'!$B$7</x:f>
        <x:v>0</x:v>
      </x:c>
      <x:c r="S13" s="21" t="n">
        <x:f>MAX(0,MIN('CPM'!M13,75)-MAX('CPM'!L13,70))*'Calendar'!$B$7</x:f>
        <x:v>0</x:v>
      </x:c>
      <x:c r="T13" s="21" t="n">
        <x:f>MAX(0,MIN('CPM'!M13,80)-MAX('CPM'!L13,75))*'Calendar'!$B$7</x:f>
        <x:v>0</x:v>
      </x:c>
      <x:c r="U13" s="21" t="n">
        <x:f>MAX(0,MIN('CPM'!M13,85)-MAX('CPM'!L13,80))*'Calendar'!$B$7</x:f>
        <x:v>0</x:v>
      </x:c>
      <x:c r="V13" s="21" t="n">
        <x:f>MAX(0,MIN('CPM'!M13,90)-MAX('CPM'!L13,85))*'Calendar'!$B$7</x:f>
        <x:v>0</x:v>
      </x:c>
      <x:c r="W13" s="21" t="n">
        <x:f>MAX(0,MIN('CPM'!M13,95)-MAX('CPM'!L13,90))*'Calendar'!$B$7</x:f>
        <x:v>0</x:v>
      </x:c>
      <x:c r="X13" s="21" t="n">
        <x:f>MAX(0,MIN('CPM'!M13,100)-MAX('CPM'!L13,95))*'Calendar'!$B$7</x:f>
        <x:v>0</x:v>
      </x:c>
      <x:c r="Y13" s="21" t="n">
        <x:f>MAX(0,MIN('CPM'!M13,105)-MAX('CPM'!L13,100))*'Calendar'!$B$7</x:f>
        <x:v>0</x:v>
      </x:c>
      <x:c r="Z13" s="21" t="n">
        <x:f>MAX(0,MIN('CPM'!M13,110)-MAX('CPM'!L13,105))*'Calendar'!$B$7</x:f>
        <x:v>0</x:v>
      </x:c>
      <x:c r="AA13" s="21" t="n">
        <x:f>MAX(0,MIN('CPM'!M13,115)-MAX('CPM'!L13,110))*'Calendar'!$B$7</x:f>
        <x:v>0</x:v>
      </x:c>
      <x:c r="AB13" s="21" t="n">
        <x:f>MAX(0,MIN('CPM'!M13,120)-MAX('CPM'!L13,115))*'Calendar'!$B$7</x:f>
        <x:v>0</x:v>
      </x:c>
      <x:c r="AC13" s="21" t="n">
        <x:f>MAX(0,MIN('CPM'!M13,125)-MAX('CPM'!L13,120))*'Calendar'!$B$7</x:f>
        <x:v>0</x:v>
      </x:c>
      <x:c r="AD13" s="21" t="n">
        <x:f>MAX(0,MIN('CPM'!M13,130)-MAX('CPM'!L13,125))*'Calendar'!$B$7</x:f>
        <x:v>0</x:v>
      </x:c>
      <x:c r="AE13" s="21" t="n">
        <x:f>MAX(0,MIN('CPM'!M13,135)-MAX('CPM'!L13,130))*'Calendar'!$B$7</x:f>
        <x:v>0</x:v>
      </x:c>
      <x:c r="AF13" s="21" t="n">
        <x:f>MAX(0,MIN('CPM'!M13,140)-MAX('CPM'!L13,135))*'Calendar'!$B$7</x:f>
        <x:v>0</x:v>
      </x:c>
      <x:c r="AG13" s="21" t="n">
        <x:f>MAX(0,MIN('CPM'!M13,145)-MAX('CPM'!L13,140))*'Calendar'!$B$7</x:f>
        <x:v>0</x:v>
      </x:c>
      <x:c r="AH13" s="21" t="n">
        <x:f>MAX(0,MIN('CPM'!M13,150)-MAX('CPM'!L13,145))*'Calendar'!$B$7</x:f>
        <x:v>0</x:v>
      </x:c>
      <x:c r="AI13" s="21" t="n">
        <x:f>MAX(0,MIN('CPM'!M13,155)-MAX('CPM'!L13,150))*'Calendar'!$B$7</x:f>
        <x:v>0</x:v>
      </x:c>
    </x:row>
    <x:row r="14" ht="35" customHeight="1">
      <x:c r="A14" s="6" t="str">
        <x:v>ACT-4.2.4-01</x:v>
      </x:c>
      <x:c r="B14" s="6" t="str">
        <x:v>Chiến</x:v>
      </x:c>
      <x:c r="C14" s="7" t="n">
        <x:f>WORKDAY('Calendar'!$B$4-1,INT('CPM'!L14)+1)</x:f>
        <x:v>46364</x:v>
      </x:c>
      <x:c r="D14" s="7" t="n">
        <x:f>WORKDAY('Calendar'!$B$4-1,MAX(1,ROUNDUP('CPM'!M14,0)))</x:f>
        <x:v>46379</x:v>
      </x:c>
      <x:c r="E14" s="21" t="n">
        <x:f>MAX(0,MIN('CPM'!M14,5)-MAX('CPM'!L14,0))*'Calendar'!$B$7</x:f>
        <x:v>0</x:v>
      </x:c>
      <x:c r="F14" s="21" t="n">
        <x:f>MAX(0,MIN('CPM'!M14,10)-MAX('CPM'!L14,5))*'Calendar'!$B$7</x:f>
        <x:v>0</x:v>
      </x:c>
      <x:c r="G14" s="21" t="n">
        <x:f>MAX(0,MIN('CPM'!M14,15)-MAX('CPM'!L14,10))*'Calendar'!$B$7</x:f>
        <x:v>0</x:v>
      </x:c>
      <x:c r="H14" s="21" t="n">
        <x:f>MAX(0,MIN('CPM'!M14,20)-MAX('CPM'!L14,15))*'Calendar'!$B$7</x:f>
        <x:v>0</x:v>
      </x:c>
      <x:c r="I14" s="21" t="n">
        <x:f>MAX(0,MIN('CPM'!M14,25)-MAX('CPM'!L14,20))*'Calendar'!$B$7</x:f>
        <x:v>0</x:v>
      </x:c>
      <x:c r="J14" s="21" t="n">
        <x:f>MAX(0,MIN('CPM'!M14,30)-MAX('CPM'!L14,25))*'Calendar'!$B$7</x:f>
        <x:v>0</x:v>
      </x:c>
      <x:c r="K14" s="21" t="n">
        <x:f>MAX(0,MIN('CPM'!M14,35)-MAX('CPM'!L14,30))*'Calendar'!$B$7</x:f>
        <x:v>0</x:v>
      </x:c>
      <x:c r="L14" s="21" t="n">
        <x:f>MAX(0,MIN('CPM'!M14,40)-MAX('CPM'!L14,35))*'Calendar'!$B$7</x:f>
        <x:v>0</x:v>
      </x:c>
      <x:c r="M14" s="21" t="n">
        <x:f>MAX(0,MIN('CPM'!M14,45)-MAX('CPM'!L14,40))*'Calendar'!$B$7</x:f>
        <x:v>0</x:v>
      </x:c>
      <x:c r="N14" s="21" t="n">
        <x:f>MAX(0,MIN('CPM'!M14,50)-MAX('CPM'!L14,45))*'Calendar'!$B$7</x:f>
        <x:v>0</x:v>
      </x:c>
      <x:c r="O14" s="21" t="n">
        <x:f>MAX(0,MIN('CPM'!M14,55)-MAX('CPM'!L14,50))*'Calendar'!$B$7</x:f>
        <x:v>3.6666666666666714</x:v>
      </x:c>
      <x:c r="P14" s="21" t="n">
        <x:f>MAX(0,MIN('CPM'!M14,60)-MAX('CPM'!L14,55))*'Calendar'!$B$7</x:f>
        <x:v>10</x:v>
      </x:c>
      <x:c r="Q14" s="21" t="n">
        <x:f>MAX(0,MIN('CPM'!M14,65)-MAX('CPM'!L14,60))*'Calendar'!$B$7</x:f>
        <x:v>8.333333333333314</x:v>
      </x:c>
      <x:c r="R14" s="21" t="n">
        <x:f>MAX(0,MIN('CPM'!M14,70)-MAX('CPM'!L14,65))*'Calendar'!$B$7</x:f>
        <x:v>0</x:v>
      </x:c>
      <x:c r="S14" s="21" t="n">
        <x:f>MAX(0,MIN('CPM'!M14,75)-MAX('CPM'!L14,70))*'Calendar'!$B$7</x:f>
        <x:v>0</x:v>
      </x:c>
      <x:c r="T14" s="21" t="n">
        <x:f>MAX(0,MIN('CPM'!M14,80)-MAX('CPM'!L14,75))*'Calendar'!$B$7</x:f>
        <x:v>0</x:v>
      </x:c>
      <x:c r="U14" s="21" t="n">
        <x:f>MAX(0,MIN('CPM'!M14,85)-MAX('CPM'!L14,80))*'Calendar'!$B$7</x:f>
        <x:v>0</x:v>
      </x:c>
      <x:c r="V14" s="21" t="n">
        <x:f>MAX(0,MIN('CPM'!M14,90)-MAX('CPM'!L14,85))*'Calendar'!$B$7</x:f>
        <x:v>0</x:v>
      </x:c>
      <x:c r="W14" s="21" t="n">
        <x:f>MAX(0,MIN('CPM'!M14,95)-MAX('CPM'!L14,90))*'Calendar'!$B$7</x:f>
        <x:v>0</x:v>
      </x:c>
      <x:c r="X14" s="21" t="n">
        <x:f>MAX(0,MIN('CPM'!M14,100)-MAX('CPM'!L14,95))*'Calendar'!$B$7</x:f>
        <x:v>0</x:v>
      </x:c>
      <x:c r="Y14" s="21" t="n">
        <x:f>MAX(0,MIN('CPM'!M14,105)-MAX('CPM'!L14,100))*'Calendar'!$B$7</x:f>
        <x:v>0</x:v>
      </x:c>
      <x:c r="Z14" s="21" t="n">
        <x:f>MAX(0,MIN('CPM'!M14,110)-MAX('CPM'!L14,105))*'Calendar'!$B$7</x:f>
        <x:v>0</x:v>
      </x:c>
      <x:c r="AA14" s="21" t="n">
        <x:f>MAX(0,MIN('CPM'!M14,115)-MAX('CPM'!L14,110))*'Calendar'!$B$7</x:f>
        <x:v>0</x:v>
      </x:c>
      <x:c r="AB14" s="21" t="n">
        <x:f>MAX(0,MIN('CPM'!M14,120)-MAX('CPM'!L14,115))*'Calendar'!$B$7</x:f>
        <x:v>0</x:v>
      </x:c>
      <x:c r="AC14" s="21" t="n">
        <x:f>MAX(0,MIN('CPM'!M14,125)-MAX('CPM'!L14,120))*'Calendar'!$B$7</x:f>
        <x:v>0</x:v>
      </x:c>
      <x:c r="AD14" s="21" t="n">
        <x:f>MAX(0,MIN('CPM'!M14,130)-MAX('CPM'!L14,125))*'Calendar'!$B$7</x:f>
        <x:v>0</x:v>
      </x:c>
      <x:c r="AE14" s="21" t="n">
        <x:f>MAX(0,MIN('CPM'!M14,135)-MAX('CPM'!L14,130))*'Calendar'!$B$7</x:f>
        <x:v>0</x:v>
      </x:c>
      <x:c r="AF14" s="21" t="n">
        <x:f>MAX(0,MIN('CPM'!M14,140)-MAX('CPM'!L14,135))*'Calendar'!$B$7</x:f>
        <x:v>0</x:v>
      </x:c>
      <x:c r="AG14" s="21" t="n">
        <x:f>MAX(0,MIN('CPM'!M14,145)-MAX('CPM'!L14,140))*'Calendar'!$B$7</x:f>
        <x:v>0</x:v>
      </x:c>
      <x:c r="AH14" s="21" t="n">
        <x:f>MAX(0,MIN('CPM'!M14,150)-MAX('CPM'!L14,145))*'Calendar'!$B$7</x:f>
        <x:v>0</x:v>
      </x:c>
      <x:c r="AI14" s="21" t="n">
        <x:f>MAX(0,MIN('CPM'!M14,155)-MAX('CPM'!L14,150))*'Calendar'!$B$7</x:f>
        <x:v>0</x:v>
      </x:c>
    </x:row>
    <x:row r="15" ht="35" customHeight="1">
      <x:c r="A15" s="6" t="str">
        <x:v>ACT-1.2-01</x:v>
      </x:c>
      <x:c r="B15" s="6" t="str">
        <x:v>Chiến</x:v>
      </x:c>
      <x:c r="C15" s="7" t="n">
        <x:f>WORKDAY('Calendar'!$B$4-1,INT('CPM'!L15)+1)</x:f>
        <x:v>46379</x:v>
      </x:c>
      <x:c r="D15" s="7" t="n">
        <x:f>WORKDAY('Calendar'!$B$4-1,MAX(1,ROUNDUP('CPM'!M15,0)))</x:f>
        <x:v>46399</x:v>
      </x:c>
      <x:c r="E15" s="21" t="n">
        <x:f>MAX(0,MIN('CPM'!M15,5)-MAX('CPM'!L15,0))*'Calendar'!$B$7</x:f>
        <x:v>0</x:v>
      </x:c>
      <x:c r="F15" s="21" t="n">
        <x:f>MAX(0,MIN('CPM'!M15,10)-MAX('CPM'!L15,5))*'Calendar'!$B$7</x:f>
        <x:v>0</x:v>
      </x:c>
      <x:c r="G15" s="21" t="n">
        <x:f>MAX(0,MIN('CPM'!M15,15)-MAX('CPM'!L15,10))*'Calendar'!$B$7</x:f>
        <x:v>0</x:v>
      </x:c>
      <x:c r="H15" s="21" t="n">
        <x:f>MAX(0,MIN('CPM'!M15,20)-MAX('CPM'!L15,15))*'Calendar'!$B$7</x:f>
        <x:v>0</x:v>
      </x:c>
      <x:c r="I15" s="21" t="n">
        <x:f>MAX(0,MIN('CPM'!M15,25)-MAX('CPM'!L15,20))*'Calendar'!$B$7</x:f>
        <x:v>0</x:v>
      </x:c>
      <x:c r="J15" s="21" t="n">
        <x:f>MAX(0,MIN('CPM'!M15,30)-MAX('CPM'!L15,25))*'Calendar'!$B$7</x:f>
        <x:v>0</x:v>
      </x:c>
      <x:c r="K15" s="21" t="n">
        <x:f>MAX(0,MIN('CPM'!M15,35)-MAX('CPM'!L15,30))*'Calendar'!$B$7</x:f>
        <x:v>0</x:v>
      </x:c>
      <x:c r="L15" s="21" t="n">
        <x:f>MAX(0,MIN('CPM'!M15,40)-MAX('CPM'!L15,35))*'Calendar'!$B$7</x:f>
        <x:v>0</x:v>
      </x:c>
      <x:c r="M15" s="21" t="n">
        <x:f>MAX(0,MIN('CPM'!M15,45)-MAX('CPM'!L15,40))*'Calendar'!$B$7</x:f>
        <x:v>0</x:v>
      </x:c>
      <x:c r="N15" s="21" t="n">
        <x:f>MAX(0,MIN('CPM'!M15,50)-MAX('CPM'!L15,45))*'Calendar'!$B$7</x:f>
        <x:v>0</x:v>
      </x:c>
      <x:c r="O15" s="21" t="n">
        <x:f>MAX(0,MIN('CPM'!M15,55)-MAX('CPM'!L15,50))*'Calendar'!$B$7</x:f>
        <x:v>0</x:v>
      </x:c>
      <x:c r="P15" s="21" t="n">
        <x:f>MAX(0,MIN('CPM'!M15,60)-MAX('CPM'!L15,55))*'Calendar'!$B$7</x:f>
        <x:v>0</x:v>
      </x:c>
      <x:c r="Q15" s="21" t="n">
        <x:f>MAX(0,MIN('CPM'!M15,65)-MAX('CPM'!L15,60))*'Calendar'!$B$7</x:f>
        <x:v>1.6666666666666856</x:v>
      </x:c>
      <x:c r="R15" s="21" t="n">
        <x:f>MAX(0,MIN('CPM'!M15,70)-MAX('CPM'!L15,65))*'Calendar'!$B$7</x:f>
        <x:v>10</x:v>
      </x:c>
      <x:c r="S15" s="21" t="n">
        <x:f>MAX(0,MIN('CPM'!M15,75)-MAX('CPM'!L15,70))*'Calendar'!$B$7</x:f>
        <x:v>10</x:v>
      </x:c>
      <x:c r="T15" s="21" t="n">
        <x:f>MAX(0,MIN('CPM'!M15,80)-MAX('CPM'!L15,75))*'Calendar'!$B$7</x:f>
        <x:v>6.333333333333314</x:v>
      </x:c>
      <x:c r="U15" s="21" t="n">
        <x:f>MAX(0,MIN('CPM'!M15,85)-MAX('CPM'!L15,80))*'Calendar'!$B$7</x:f>
        <x:v>0</x:v>
      </x:c>
      <x:c r="V15" s="21" t="n">
        <x:f>MAX(0,MIN('CPM'!M15,90)-MAX('CPM'!L15,85))*'Calendar'!$B$7</x:f>
        <x:v>0</x:v>
      </x:c>
      <x:c r="W15" s="21" t="n">
        <x:f>MAX(0,MIN('CPM'!M15,95)-MAX('CPM'!L15,90))*'Calendar'!$B$7</x:f>
        <x:v>0</x:v>
      </x:c>
      <x:c r="X15" s="21" t="n">
        <x:f>MAX(0,MIN('CPM'!M15,100)-MAX('CPM'!L15,95))*'Calendar'!$B$7</x:f>
        <x:v>0</x:v>
      </x:c>
      <x:c r="Y15" s="21" t="n">
        <x:f>MAX(0,MIN('CPM'!M15,105)-MAX('CPM'!L15,100))*'Calendar'!$B$7</x:f>
        <x:v>0</x:v>
      </x:c>
      <x:c r="Z15" s="21" t="n">
        <x:f>MAX(0,MIN('CPM'!M15,110)-MAX('CPM'!L15,105))*'Calendar'!$B$7</x:f>
        <x:v>0</x:v>
      </x:c>
      <x:c r="AA15" s="21" t="n">
        <x:f>MAX(0,MIN('CPM'!M15,115)-MAX('CPM'!L15,110))*'Calendar'!$B$7</x:f>
        <x:v>0</x:v>
      </x:c>
      <x:c r="AB15" s="21" t="n">
        <x:f>MAX(0,MIN('CPM'!M15,120)-MAX('CPM'!L15,115))*'Calendar'!$B$7</x:f>
        <x:v>0</x:v>
      </x:c>
      <x:c r="AC15" s="21" t="n">
        <x:f>MAX(0,MIN('CPM'!M15,125)-MAX('CPM'!L15,120))*'Calendar'!$B$7</x:f>
        <x:v>0</x:v>
      </x:c>
      <x:c r="AD15" s="21" t="n">
        <x:f>MAX(0,MIN('CPM'!M15,130)-MAX('CPM'!L15,125))*'Calendar'!$B$7</x:f>
        <x:v>0</x:v>
      </x:c>
      <x:c r="AE15" s="21" t="n">
        <x:f>MAX(0,MIN('CPM'!M15,135)-MAX('CPM'!L15,130))*'Calendar'!$B$7</x:f>
        <x:v>0</x:v>
      </x:c>
      <x:c r="AF15" s="21" t="n">
        <x:f>MAX(0,MIN('CPM'!M15,140)-MAX('CPM'!L15,135))*'Calendar'!$B$7</x:f>
        <x:v>0</x:v>
      </x:c>
      <x:c r="AG15" s="21" t="n">
        <x:f>MAX(0,MIN('CPM'!M15,145)-MAX('CPM'!L15,140))*'Calendar'!$B$7</x:f>
        <x:v>0</x:v>
      </x:c>
      <x:c r="AH15" s="21" t="n">
        <x:f>MAX(0,MIN('CPM'!M15,150)-MAX('CPM'!L15,145))*'Calendar'!$B$7</x:f>
        <x:v>0</x:v>
      </x:c>
      <x:c r="AI15" s="21" t="n">
        <x:f>MAX(0,MIN('CPM'!M15,155)-MAX('CPM'!L15,150))*'Calendar'!$B$7</x:f>
        <x:v>0</x:v>
      </x:c>
    </x:row>
    <x:row r="16" ht="35" customHeight="1">
      <x:c r="A16" s="6" t="str">
        <x:v>ACT-1.3-01</x:v>
      </x:c>
      <x:c r="B16" s="6" t="str">
        <x:v>Việt Quang</x:v>
      </x:c>
      <x:c r="C16" s="7" t="n">
        <x:f>WORKDAY('Calendar'!$B$4-1,INT('CPM'!L16)+1)</x:f>
        <x:v>46399</x:v>
      </x:c>
      <x:c r="D16" s="7" t="n">
        <x:f>WORKDAY('Calendar'!$B$4-1,MAX(1,ROUNDUP('CPM'!M16,0)))</x:f>
        <x:v>46409</x:v>
      </x:c>
      <x:c r="E16" s="21" t="n">
        <x:f>MAX(0,MIN('CPM'!M16,5)-MAX('CPM'!L16,0))*'Calendar'!$B$7</x:f>
        <x:v>0</x:v>
      </x:c>
      <x:c r="F16" s="21" t="n">
        <x:f>MAX(0,MIN('CPM'!M16,10)-MAX('CPM'!L16,5))*'Calendar'!$B$7</x:f>
        <x:v>0</x:v>
      </x:c>
      <x:c r="G16" s="21" t="n">
        <x:f>MAX(0,MIN('CPM'!M16,15)-MAX('CPM'!L16,10))*'Calendar'!$B$7</x:f>
        <x:v>0</x:v>
      </x:c>
      <x:c r="H16" s="21" t="n">
        <x:f>MAX(0,MIN('CPM'!M16,20)-MAX('CPM'!L16,15))*'Calendar'!$B$7</x:f>
        <x:v>0</x:v>
      </x:c>
      <x:c r="I16" s="21" t="n">
        <x:f>MAX(0,MIN('CPM'!M16,25)-MAX('CPM'!L16,20))*'Calendar'!$B$7</x:f>
        <x:v>0</x:v>
      </x:c>
      <x:c r="J16" s="21" t="n">
        <x:f>MAX(0,MIN('CPM'!M16,30)-MAX('CPM'!L16,25))*'Calendar'!$B$7</x:f>
        <x:v>0</x:v>
      </x:c>
      <x:c r="K16" s="21" t="n">
        <x:f>MAX(0,MIN('CPM'!M16,35)-MAX('CPM'!L16,30))*'Calendar'!$B$7</x:f>
        <x:v>0</x:v>
      </x:c>
      <x:c r="L16" s="21" t="n">
        <x:f>MAX(0,MIN('CPM'!M16,40)-MAX('CPM'!L16,35))*'Calendar'!$B$7</x:f>
        <x:v>0</x:v>
      </x:c>
      <x:c r="M16" s="21" t="n">
        <x:f>MAX(0,MIN('CPM'!M16,45)-MAX('CPM'!L16,40))*'Calendar'!$B$7</x:f>
        <x:v>0</x:v>
      </x:c>
      <x:c r="N16" s="21" t="n">
        <x:f>MAX(0,MIN('CPM'!M16,50)-MAX('CPM'!L16,45))*'Calendar'!$B$7</x:f>
        <x:v>0</x:v>
      </x:c>
      <x:c r="O16" s="21" t="n">
        <x:f>MAX(0,MIN('CPM'!M16,55)-MAX('CPM'!L16,50))*'Calendar'!$B$7</x:f>
        <x:v>0</x:v>
      </x:c>
      <x:c r="P16" s="21" t="n">
        <x:f>MAX(0,MIN('CPM'!M16,60)-MAX('CPM'!L16,55))*'Calendar'!$B$7</x:f>
        <x:v>0</x:v>
      </x:c>
      <x:c r="Q16" s="21" t="n">
        <x:f>MAX(0,MIN('CPM'!M16,65)-MAX('CPM'!L16,60))*'Calendar'!$B$7</x:f>
        <x:v>0</x:v>
      </x:c>
      <x:c r="R16" s="21" t="n">
        <x:f>MAX(0,MIN('CPM'!M16,70)-MAX('CPM'!L16,65))*'Calendar'!$B$7</x:f>
        <x:v>0</x:v>
      </x:c>
      <x:c r="S16" s="21" t="n">
        <x:f>MAX(0,MIN('CPM'!M16,75)-MAX('CPM'!L16,70))*'Calendar'!$B$7</x:f>
        <x:v>0</x:v>
      </x:c>
      <x:c r="T16" s="21" t="n">
        <x:f>MAX(0,MIN('CPM'!M16,80)-MAX('CPM'!L16,75))*'Calendar'!$B$7</x:f>
        <x:v>3.6666666666666856</x:v>
      </x:c>
      <x:c r="U16" s="21" t="n">
        <x:f>MAX(0,MIN('CPM'!M16,85)-MAX('CPM'!L16,80))*'Calendar'!$B$7</x:f>
        <x:v>10</x:v>
      </x:c>
      <x:c r="V16" s="21" t="n">
        <x:f>MAX(0,MIN('CPM'!M16,90)-MAX('CPM'!L16,85))*'Calendar'!$B$7</x:f>
        <x:v>2.3333333333333144</x:v>
      </x:c>
      <x:c r="W16" s="21" t="n">
        <x:f>MAX(0,MIN('CPM'!M16,95)-MAX('CPM'!L16,90))*'Calendar'!$B$7</x:f>
        <x:v>0</x:v>
      </x:c>
      <x:c r="X16" s="21" t="n">
        <x:f>MAX(0,MIN('CPM'!M16,100)-MAX('CPM'!L16,95))*'Calendar'!$B$7</x:f>
        <x:v>0</x:v>
      </x:c>
      <x:c r="Y16" s="21" t="n">
        <x:f>MAX(0,MIN('CPM'!M16,105)-MAX('CPM'!L16,100))*'Calendar'!$B$7</x:f>
        <x:v>0</x:v>
      </x:c>
      <x:c r="Z16" s="21" t="n">
        <x:f>MAX(0,MIN('CPM'!M16,110)-MAX('CPM'!L16,105))*'Calendar'!$B$7</x:f>
        <x:v>0</x:v>
      </x:c>
      <x:c r="AA16" s="21" t="n">
        <x:f>MAX(0,MIN('CPM'!M16,115)-MAX('CPM'!L16,110))*'Calendar'!$B$7</x:f>
        <x:v>0</x:v>
      </x:c>
      <x:c r="AB16" s="21" t="n">
        <x:f>MAX(0,MIN('CPM'!M16,120)-MAX('CPM'!L16,115))*'Calendar'!$B$7</x:f>
        <x:v>0</x:v>
      </x:c>
      <x:c r="AC16" s="21" t="n">
        <x:f>MAX(0,MIN('CPM'!M16,125)-MAX('CPM'!L16,120))*'Calendar'!$B$7</x:f>
        <x:v>0</x:v>
      </x:c>
      <x:c r="AD16" s="21" t="n">
        <x:f>MAX(0,MIN('CPM'!M16,130)-MAX('CPM'!L16,125))*'Calendar'!$B$7</x:f>
        <x:v>0</x:v>
      </x:c>
      <x:c r="AE16" s="21" t="n">
        <x:f>MAX(0,MIN('CPM'!M16,135)-MAX('CPM'!L16,130))*'Calendar'!$B$7</x:f>
        <x:v>0</x:v>
      </x:c>
      <x:c r="AF16" s="21" t="n">
        <x:f>MAX(0,MIN('CPM'!M16,140)-MAX('CPM'!L16,135))*'Calendar'!$B$7</x:f>
        <x:v>0</x:v>
      </x:c>
      <x:c r="AG16" s="21" t="n">
        <x:f>MAX(0,MIN('CPM'!M16,145)-MAX('CPM'!L16,140))*'Calendar'!$B$7</x:f>
        <x:v>0</x:v>
      </x:c>
      <x:c r="AH16" s="21" t="n">
        <x:f>MAX(0,MIN('CPM'!M16,150)-MAX('CPM'!L16,145))*'Calendar'!$B$7</x:f>
        <x:v>0</x:v>
      </x:c>
      <x:c r="AI16" s="21" t="n">
        <x:f>MAX(0,MIN('CPM'!M16,155)-MAX('CPM'!L16,150))*'Calendar'!$B$7</x:f>
        <x:v>0</x:v>
      </x:c>
    </x:row>
    <x:row r="17" ht="35" customHeight="1">
      <x:c r="A17" s="6" t="str">
        <x:v>ACT-2.2-01</x:v>
      </x:c>
      <x:c r="B17" s="6" t="str">
        <x:v>Chiến</x:v>
      </x:c>
      <x:c r="C17" s="7" t="n">
        <x:f>WORKDAY('Calendar'!$B$4-1,INT('CPM'!L17)+1)</x:f>
        <x:v>46399</x:v>
      </x:c>
      <x:c r="D17" s="7" t="n">
        <x:f>WORKDAY('Calendar'!$B$4-1,MAX(1,ROUNDUP('CPM'!M17,0)))</x:f>
        <x:v>46405</x:v>
      </x:c>
      <x:c r="E17" s="21" t="n">
        <x:f>MAX(0,MIN('CPM'!M17,5)-MAX('CPM'!L17,0))*'Calendar'!$B$7</x:f>
        <x:v>0</x:v>
      </x:c>
      <x:c r="F17" s="21" t="n">
        <x:f>MAX(0,MIN('CPM'!M17,10)-MAX('CPM'!L17,5))*'Calendar'!$B$7</x:f>
        <x:v>0</x:v>
      </x:c>
      <x:c r="G17" s="21" t="n">
        <x:f>MAX(0,MIN('CPM'!M17,15)-MAX('CPM'!L17,10))*'Calendar'!$B$7</x:f>
        <x:v>0</x:v>
      </x:c>
      <x:c r="H17" s="21" t="n">
        <x:f>MAX(0,MIN('CPM'!M17,20)-MAX('CPM'!L17,15))*'Calendar'!$B$7</x:f>
        <x:v>0</x:v>
      </x:c>
      <x:c r="I17" s="21" t="n">
        <x:f>MAX(0,MIN('CPM'!M17,25)-MAX('CPM'!L17,20))*'Calendar'!$B$7</x:f>
        <x:v>0</x:v>
      </x:c>
      <x:c r="J17" s="21" t="n">
        <x:f>MAX(0,MIN('CPM'!M17,30)-MAX('CPM'!L17,25))*'Calendar'!$B$7</x:f>
        <x:v>0</x:v>
      </x:c>
      <x:c r="K17" s="21" t="n">
        <x:f>MAX(0,MIN('CPM'!M17,35)-MAX('CPM'!L17,30))*'Calendar'!$B$7</x:f>
        <x:v>0</x:v>
      </x:c>
      <x:c r="L17" s="21" t="n">
        <x:f>MAX(0,MIN('CPM'!M17,40)-MAX('CPM'!L17,35))*'Calendar'!$B$7</x:f>
        <x:v>0</x:v>
      </x:c>
      <x:c r="M17" s="21" t="n">
        <x:f>MAX(0,MIN('CPM'!M17,45)-MAX('CPM'!L17,40))*'Calendar'!$B$7</x:f>
        <x:v>0</x:v>
      </x:c>
      <x:c r="N17" s="21" t="n">
        <x:f>MAX(0,MIN('CPM'!M17,50)-MAX('CPM'!L17,45))*'Calendar'!$B$7</x:f>
        <x:v>0</x:v>
      </x:c>
      <x:c r="O17" s="21" t="n">
        <x:f>MAX(0,MIN('CPM'!M17,55)-MAX('CPM'!L17,50))*'Calendar'!$B$7</x:f>
        <x:v>0</x:v>
      </x:c>
      <x:c r="P17" s="21" t="n">
        <x:f>MAX(0,MIN('CPM'!M17,60)-MAX('CPM'!L17,55))*'Calendar'!$B$7</x:f>
        <x:v>0</x:v>
      </x:c>
      <x:c r="Q17" s="21" t="n">
        <x:f>MAX(0,MIN('CPM'!M17,65)-MAX('CPM'!L17,60))*'Calendar'!$B$7</x:f>
        <x:v>0</x:v>
      </x:c>
      <x:c r="R17" s="21" t="n">
        <x:f>MAX(0,MIN('CPM'!M17,70)-MAX('CPM'!L17,65))*'Calendar'!$B$7</x:f>
        <x:v>0</x:v>
      </x:c>
      <x:c r="S17" s="21" t="n">
        <x:f>MAX(0,MIN('CPM'!M17,75)-MAX('CPM'!L17,70))*'Calendar'!$B$7</x:f>
        <x:v>0</x:v>
      </x:c>
      <x:c r="T17" s="21" t="n">
        <x:f>MAX(0,MIN('CPM'!M17,80)-MAX('CPM'!L17,75))*'Calendar'!$B$7</x:f>
        <x:v>3.6666666666666856</x:v>
      </x:c>
      <x:c r="U17" s="21" t="n">
        <x:f>MAX(0,MIN('CPM'!M17,85)-MAX('CPM'!L17,80))*'Calendar'!$B$7</x:f>
        <x:v>4.333333333333314</x:v>
      </x:c>
      <x:c r="V17" s="21" t="n">
        <x:f>MAX(0,MIN('CPM'!M17,90)-MAX('CPM'!L17,85))*'Calendar'!$B$7</x:f>
        <x:v>0</x:v>
      </x:c>
      <x:c r="W17" s="21" t="n">
        <x:f>MAX(0,MIN('CPM'!M17,95)-MAX('CPM'!L17,90))*'Calendar'!$B$7</x:f>
        <x:v>0</x:v>
      </x:c>
      <x:c r="X17" s="21" t="n">
        <x:f>MAX(0,MIN('CPM'!M17,100)-MAX('CPM'!L17,95))*'Calendar'!$B$7</x:f>
        <x:v>0</x:v>
      </x:c>
      <x:c r="Y17" s="21" t="n">
        <x:f>MAX(0,MIN('CPM'!M17,105)-MAX('CPM'!L17,100))*'Calendar'!$B$7</x:f>
        <x:v>0</x:v>
      </x:c>
      <x:c r="Z17" s="21" t="n">
        <x:f>MAX(0,MIN('CPM'!M17,110)-MAX('CPM'!L17,105))*'Calendar'!$B$7</x:f>
        <x:v>0</x:v>
      </x:c>
      <x:c r="AA17" s="21" t="n">
        <x:f>MAX(0,MIN('CPM'!M17,115)-MAX('CPM'!L17,110))*'Calendar'!$B$7</x:f>
        <x:v>0</x:v>
      </x:c>
      <x:c r="AB17" s="21" t="n">
        <x:f>MAX(0,MIN('CPM'!M17,120)-MAX('CPM'!L17,115))*'Calendar'!$B$7</x:f>
        <x:v>0</x:v>
      </x:c>
      <x:c r="AC17" s="21" t="n">
        <x:f>MAX(0,MIN('CPM'!M17,125)-MAX('CPM'!L17,120))*'Calendar'!$B$7</x:f>
        <x:v>0</x:v>
      </x:c>
      <x:c r="AD17" s="21" t="n">
        <x:f>MAX(0,MIN('CPM'!M17,130)-MAX('CPM'!L17,125))*'Calendar'!$B$7</x:f>
        <x:v>0</x:v>
      </x:c>
      <x:c r="AE17" s="21" t="n">
        <x:f>MAX(0,MIN('CPM'!M17,135)-MAX('CPM'!L17,130))*'Calendar'!$B$7</x:f>
        <x:v>0</x:v>
      </x:c>
      <x:c r="AF17" s="21" t="n">
        <x:f>MAX(0,MIN('CPM'!M17,140)-MAX('CPM'!L17,135))*'Calendar'!$B$7</x:f>
        <x:v>0</x:v>
      </x:c>
      <x:c r="AG17" s="21" t="n">
        <x:f>MAX(0,MIN('CPM'!M17,145)-MAX('CPM'!L17,140))*'Calendar'!$B$7</x:f>
        <x:v>0</x:v>
      </x:c>
      <x:c r="AH17" s="21" t="n">
        <x:f>MAX(0,MIN('CPM'!M17,150)-MAX('CPM'!L17,145))*'Calendar'!$B$7</x:f>
        <x:v>0</x:v>
      </x:c>
      <x:c r="AI17" s="21" t="n">
        <x:f>MAX(0,MIN('CPM'!M17,155)-MAX('CPM'!L17,150))*'Calendar'!$B$7</x:f>
        <x:v>0</x:v>
      </x:c>
    </x:row>
    <x:row r="18" ht="35" customHeight="1">
      <x:c r="A18" s="6" t="str">
        <x:v>ACT-4.1-01</x:v>
      </x:c>
      <x:c r="B18" s="6" t="str">
        <x:v>Việt Quang</x:v>
      </x:c>
      <x:c r="C18" s="7" t="n">
        <x:f>WORKDAY('Calendar'!$B$4-1,INT('CPM'!L18)+1)</x:f>
        <x:v>46409</x:v>
      </x:c>
      <x:c r="D18" s="7" t="n">
        <x:f>WORKDAY('Calendar'!$B$4-1,MAX(1,ROUNDUP('CPM'!M18,0)))</x:f>
        <x:v>46427</x:v>
      </x:c>
      <x:c r="E18" s="21" t="n">
        <x:f>MAX(0,MIN('CPM'!M18,5)-MAX('CPM'!L18,0))*'Calendar'!$B$7</x:f>
        <x:v>0</x:v>
      </x:c>
      <x:c r="F18" s="21" t="n">
        <x:f>MAX(0,MIN('CPM'!M18,10)-MAX('CPM'!L18,5))*'Calendar'!$B$7</x:f>
        <x:v>0</x:v>
      </x:c>
      <x:c r="G18" s="21" t="n">
        <x:f>MAX(0,MIN('CPM'!M18,15)-MAX('CPM'!L18,10))*'Calendar'!$B$7</x:f>
        <x:v>0</x:v>
      </x:c>
      <x:c r="H18" s="21" t="n">
        <x:f>MAX(0,MIN('CPM'!M18,20)-MAX('CPM'!L18,15))*'Calendar'!$B$7</x:f>
        <x:v>0</x:v>
      </x:c>
      <x:c r="I18" s="21" t="n">
        <x:f>MAX(0,MIN('CPM'!M18,25)-MAX('CPM'!L18,20))*'Calendar'!$B$7</x:f>
        <x:v>0</x:v>
      </x:c>
      <x:c r="J18" s="21" t="n">
        <x:f>MAX(0,MIN('CPM'!M18,30)-MAX('CPM'!L18,25))*'Calendar'!$B$7</x:f>
        <x:v>0</x:v>
      </x:c>
      <x:c r="K18" s="21" t="n">
        <x:f>MAX(0,MIN('CPM'!M18,35)-MAX('CPM'!L18,30))*'Calendar'!$B$7</x:f>
        <x:v>0</x:v>
      </x:c>
      <x:c r="L18" s="21" t="n">
        <x:f>MAX(0,MIN('CPM'!M18,40)-MAX('CPM'!L18,35))*'Calendar'!$B$7</x:f>
        <x:v>0</x:v>
      </x:c>
      <x:c r="M18" s="21" t="n">
        <x:f>MAX(0,MIN('CPM'!M18,45)-MAX('CPM'!L18,40))*'Calendar'!$B$7</x:f>
        <x:v>0</x:v>
      </x:c>
      <x:c r="N18" s="21" t="n">
        <x:f>MAX(0,MIN('CPM'!M18,50)-MAX('CPM'!L18,45))*'Calendar'!$B$7</x:f>
        <x:v>0</x:v>
      </x:c>
      <x:c r="O18" s="21" t="n">
        <x:f>MAX(0,MIN('CPM'!M18,55)-MAX('CPM'!L18,50))*'Calendar'!$B$7</x:f>
        <x:v>0</x:v>
      </x:c>
      <x:c r="P18" s="21" t="n">
        <x:f>MAX(0,MIN('CPM'!M18,60)-MAX('CPM'!L18,55))*'Calendar'!$B$7</x:f>
        <x:v>0</x:v>
      </x:c>
      <x:c r="Q18" s="21" t="n">
        <x:f>MAX(0,MIN('CPM'!M18,65)-MAX('CPM'!L18,60))*'Calendar'!$B$7</x:f>
        <x:v>0</x:v>
      </x:c>
      <x:c r="R18" s="21" t="n">
        <x:f>MAX(0,MIN('CPM'!M18,70)-MAX('CPM'!L18,65))*'Calendar'!$B$7</x:f>
        <x:v>0</x:v>
      </x:c>
      <x:c r="S18" s="21" t="n">
        <x:f>MAX(0,MIN('CPM'!M18,75)-MAX('CPM'!L18,70))*'Calendar'!$B$7</x:f>
        <x:v>0</x:v>
      </x:c>
      <x:c r="T18" s="21" t="n">
        <x:f>MAX(0,MIN('CPM'!M18,80)-MAX('CPM'!L18,75))*'Calendar'!$B$7</x:f>
        <x:v>0</x:v>
      </x:c>
      <x:c r="U18" s="21" t="n">
        <x:f>MAX(0,MIN('CPM'!M18,85)-MAX('CPM'!L18,80))*'Calendar'!$B$7</x:f>
        <x:v>0</x:v>
      </x:c>
      <x:c r="V18" s="21" t="n">
        <x:f>MAX(0,MIN('CPM'!M18,90)-MAX('CPM'!L18,85))*'Calendar'!$B$7</x:f>
        <x:v>7.666666666666686</x:v>
      </x:c>
      <x:c r="W18" s="21" t="n">
        <x:f>MAX(0,MIN('CPM'!M18,95)-MAX('CPM'!L18,90))*'Calendar'!$B$7</x:f>
        <x:v>10</x:v>
      </x:c>
      <x:c r="X18" s="21" t="n">
        <x:f>MAX(0,MIN('CPM'!M18,100)-MAX('CPM'!L18,95))*'Calendar'!$B$7</x:f>
        <x:v>6.333333333333314</x:v>
      </x:c>
      <x:c r="Y18" s="21" t="n">
        <x:f>MAX(0,MIN('CPM'!M18,105)-MAX('CPM'!L18,100))*'Calendar'!$B$7</x:f>
        <x:v>0</x:v>
      </x:c>
      <x:c r="Z18" s="21" t="n">
        <x:f>MAX(0,MIN('CPM'!M18,110)-MAX('CPM'!L18,105))*'Calendar'!$B$7</x:f>
        <x:v>0</x:v>
      </x:c>
      <x:c r="AA18" s="21" t="n">
        <x:f>MAX(0,MIN('CPM'!M18,115)-MAX('CPM'!L18,110))*'Calendar'!$B$7</x:f>
        <x:v>0</x:v>
      </x:c>
      <x:c r="AB18" s="21" t="n">
        <x:f>MAX(0,MIN('CPM'!M18,120)-MAX('CPM'!L18,115))*'Calendar'!$B$7</x:f>
        <x:v>0</x:v>
      </x:c>
      <x:c r="AC18" s="21" t="n">
        <x:f>MAX(0,MIN('CPM'!M18,125)-MAX('CPM'!L18,120))*'Calendar'!$B$7</x:f>
        <x:v>0</x:v>
      </x:c>
      <x:c r="AD18" s="21" t="n">
        <x:f>MAX(0,MIN('CPM'!M18,130)-MAX('CPM'!L18,125))*'Calendar'!$B$7</x:f>
        <x:v>0</x:v>
      </x:c>
      <x:c r="AE18" s="21" t="n">
        <x:f>MAX(0,MIN('CPM'!M18,135)-MAX('CPM'!L18,130))*'Calendar'!$B$7</x:f>
        <x:v>0</x:v>
      </x:c>
      <x:c r="AF18" s="21" t="n">
        <x:f>MAX(0,MIN('CPM'!M18,140)-MAX('CPM'!L18,135))*'Calendar'!$B$7</x:f>
        <x:v>0</x:v>
      </x:c>
      <x:c r="AG18" s="21" t="n">
        <x:f>MAX(0,MIN('CPM'!M18,145)-MAX('CPM'!L18,140))*'Calendar'!$B$7</x:f>
        <x:v>0</x:v>
      </x:c>
      <x:c r="AH18" s="21" t="n">
        <x:f>MAX(0,MIN('CPM'!M18,150)-MAX('CPM'!L18,145))*'Calendar'!$B$7</x:f>
        <x:v>0</x:v>
      </x:c>
      <x:c r="AI18" s="21" t="n">
        <x:f>MAX(0,MIN('CPM'!M18,155)-MAX('CPM'!L18,150))*'Calendar'!$B$7</x:f>
        <x:v>0</x:v>
      </x:c>
    </x:row>
    <x:row r="19" ht="35" customHeight="1">
      <x:c r="A19" s="6" t="str">
        <x:v>ACT-4.2.1-01</x:v>
      </x:c>
      <x:c r="B19" s="6" t="str">
        <x:v>Chiến</x:v>
      </x:c>
      <x:c r="C19" s="7" t="n">
        <x:f>WORKDAY('Calendar'!$B$4-1,INT('CPM'!L19)+1)</x:f>
        <x:v>46427</x:v>
      </x:c>
      <x:c r="D19" s="7" t="n">
        <x:f>WORKDAY('Calendar'!$B$4-1,MAX(1,ROUNDUP('CPM'!M19,0)))</x:f>
        <x:v>46447</x:v>
      </x:c>
      <x:c r="E19" s="21" t="n">
        <x:f>MAX(0,MIN('CPM'!M19,5)-MAX('CPM'!L19,0))*'Calendar'!$B$7</x:f>
        <x:v>0</x:v>
      </x:c>
      <x:c r="F19" s="21" t="n">
        <x:f>MAX(0,MIN('CPM'!M19,10)-MAX('CPM'!L19,5))*'Calendar'!$B$7</x:f>
        <x:v>0</x:v>
      </x:c>
      <x:c r="G19" s="21" t="n">
        <x:f>MAX(0,MIN('CPM'!M19,15)-MAX('CPM'!L19,10))*'Calendar'!$B$7</x:f>
        <x:v>0</x:v>
      </x:c>
      <x:c r="H19" s="21" t="n">
        <x:f>MAX(0,MIN('CPM'!M19,20)-MAX('CPM'!L19,15))*'Calendar'!$B$7</x:f>
        <x:v>0</x:v>
      </x:c>
      <x:c r="I19" s="21" t="n">
        <x:f>MAX(0,MIN('CPM'!M19,25)-MAX('CPM'!L19,20))*'Calendar'!$B$7</x:f>
        <x:v>0</x:v>
      </x:c>
      <x:c r="J19" s="21" t="n">
        <x:f>MAX(0,MIN('CPM'!M19,30)-MAX('CPM'!L19,25))*'Calendar'!$B$7</x:f>
        <x:v>0</x:v>
      </x:c>
      <x:c r="K19" s="21" t="n">
        <x:f>MAX(0,MIN('CPM'!M19,35)-MAX('CPM'!L19,30))*'Calendar'!$B$7</x:f>
        <x:v>0</x:v>
      </x:c>
      <x:c r="L19" s="21" t="n">
        <x:f>MAX(0,MIN('CPM'!M19,40)-MAX('CPM'!L19,35))*'Calendar'!$B$7</x:f>
        <x:v>0</x:v>
      </x:c>
      <x:c r="M19" s="21" t="n">
        <x:f>MAX(0,MIN('CPM'!M19,45)-MAX('CPM'!L19,40))*'Calendar'!$B$7</x:f>
        <x:v>0</x:v>
      </x:c>
      <x:c r="N19" s="21" t="n">
        <x:f>MAX(0,MIN('CPM'!M19,50)-MAX('CPM'!L19,45))*'Calendar'!$B$7</x:f>
        <x:v>0</x:v>
      </x:c>
      <x:c r="O19" s="21" t="n">
        <x:f>MAX(0,MIN('CPM'!M19,55)-MAX('CPM'!L19,50))*'Calendar'!$B$7</x:f>
        <x:v>0</x:v>
      </x:c>
      <x:c r="P19" s="21" t="n">
        <x:f>MAX(0,MIN('CPM'!M19,60)-MAX('CPM'!L19,55))*'Calendar'!$B$7</x:f>
        <x:v>0</x:v>
      </x:c>
      <x:c r="Q19" s="21" t="n">
        <x:f>MAX(0,MIN('CPM'!M19,65)-MAX('CPM'!L19,60))*'Calendar'!$B$7</x:f>
        <x:v>0</x:v>
      </x:c>
      <x:c r="R19" s="21" t="n">
        <x:f>MAX(0,MIN('CPM'!M19,70)-MAX('CPM'!L19,65))*'Calendar'!$B$7</x:f>
        <x:v>0</x:v>
      </x:c>
      <x:c r="S19" s="21" t="n">
        <x:f>MAX(0,MIN('CPM'!M19,75)-MAX('CPM'!L19,70))*'Calendar'!$B$7</x:f>
        <x:v>0</x:v>
      </x:c>
      <x:c r="T19" s="21" t="n">
        <x:f>MAX(0,MIN('CPM'!M19,80)-MAX('CPM'!L19,75))*'Calendar'!$B$7</x:f>
        <x:v>0</x:v>
      </x:c>
      <x:c r="U19" s="21" t="n">
        <x:f>MAX(0,MIN('CPM'!M19,85)-MAX('CPM'!L19,80))*'Calendar'!$B$7</x:f>
        <x:v>0</x:v>
      </x:c>
      <x:c r="V19" s="21" t="n">
        <x:f>MAX(0,MIN('CPM'!M19,90)-MAX('CPM'!L19,85))*'Calendar'!$B$7</x:f>
        <x:v>0</x:v>
      </x:c>
      <x:c r="W19" s="21" t="n">
        <x:f>MAX(0,MIN('CPM'!M19,95)-MAX('CPM'!L19,90))*'Calendar'!$B$7</x:f>
        <x:v>0</x:v>
      </x:c>
      <x:c r="X19" s="21" t="n">
        <x:f>MAX(0,MIN('CPM'!M19,100)-MAX('CPM'!L19,95))*'Calendar'!$B$7</x:f>
        <x:v>3.6666666666666856</x:v>
      </x:c>
      <x:c r="Y19" s="21" t="n">
        <x:f>MAX(0,MIN('CPM'!M19,105)-MAX('CPM'!L19,100))*'Calendar'!$B$7</x:f>
        <x:v>10</x:v>
      </x:c>
      <x:c r="Z19" s="21" t="n">
        <x:f>MAX(0,MIN('CPM'!M19,110)-MAX('CPM'!L19,105))*'Calendar'!$B$7</x:f>
        <x:v>10</x:v>
      </x:c>
      <x:c r="AA19" s="21" t="n">
        <x:f>MAX(0,MIN('CPM'!M19,115)-MAX('CPM'!L19,110))*'Calendar'!$B$7</x:f>
        <x:v>4.999999999999972</x:v>
      </x:c>
      <x:c r="AB19" s="21" t="n">
        <x:f>MAX(0,MIN('CPM'!M19,120)-MAX('CPM'!L19,115))*'Calendar'!$B$7</x:f>
        <x:v>0</x:v>
      </x:c>
      <x:c r="AC19" s="21" t="n">
        <x:f>MAX(0,MIN('CPM'!M19,125)-MAX('CPM'!L19,120))*'Calendar'!$B$7</x:f>
        <x:v>0</x:v>
      </x:c>
      <x:c r="AD19" s="21" t="n">
        <x:f>MAX(0,MIN('CPM'!M19,130)-MAX('CPM'!L19,125))*'Calendar'!$B$7</x:f>
        <x:v>0</x:v>
      </x:c>
      <x:c r="AE19" s="21" t="n">
        <x:f>MAX(0,MIN('CPM'!M19,135)-MAX('CPM'!L19,130))*'Calendar'!$B$7</x:f>
        <x:v>0</x:v>
      </x:c>
      <x:c r="AF19" s="21" t="n">
        <x:f>MAX(0,MIN('CPM'!M19,140)-MAX('CPM'!L19,135))*'Calendar'!$B$7</x:f>
        <x:v>0</x:v>
      </x:c>
      <x:c r="AG19" s="21" t="n">
        <x:f>MAX(0,MIN('CPM'!M19,145)-MAX('CPM'!L19,140))*'Calendar'!$B$7</x:f>
        <x:v>0</x:v>
      </x:c>
      <x:c r="AH19" s="21" t="n">
        <x:f>MAX(0,MIN('CPM'!M19,150)-MAX('CPM'!L19,145))*'Calendar'!$B$7</x:f>
        <x:v>0</x:v>
      </x:c>
      <x:c r="AI19" s="21" t="n">
        <x:f>MAX(0,MIN('CPM'!M19,155)-MAX('CPM'!L19,150))*'Calendar'!$B$7</x:f>
        <x:v>0</x:v>
      </x:c>
    </x:row>
    <x:row r="20" ht="35" customHeight="1">
      <x:c r="A20" s="6" t="str">
        <x:v>ACT-4.2.5-01</x:v>
      </x:c>
      <x:c r="B20" s="6" t="str">
        <x:v>Chiến</x:v>
      </x:c>
      <x:c r="C20" s="7" t="n">
        <x:f>WORKDAY('Calendar'!$B$4-1,INT('CPM'!L20)+1)</x:f>
        <x:v>46447</x:v>
      </x:c>
      <x:c r="D20" s="7" t="n">
        <x:f>WORKDAY('Calendar'!$B$4-1,MAX(1,ROUNDUP('CPM'!M20,0)))</x:f>
        <x:v>46457</x:v>
      </x:c>
      <x:c r="E20" s="21" t="n">
        <x:f>MAX(0,MIN('CPM'!M20,5)-MAX('CPM'!L20,0))*'Calendar'!$B$7</x:f>
        <x:v>0</x:v>
      </x:c>
      <x:c r="F20" s="21" t="n">
        <x:f>MAX(0,MIN('CPM'!M20,10)-MAX('CPM'!L20,5))*'Calendar'!$B$7</x:f>
        <x:v>0</x:v>
      </x:c>
      <x:c r="G20" s="21" t="n">
        <x:f>MAX(0,MIN('CPM'!M20,15)-MAX('CPM'!L20,10))*'Calendar'!$B$7</x:f>
        <x:v>0</x:v>
      </x:c>
      <x:c r="H20" s="21" t="n">
        <x:f>MAX(0,MIN('CPM'!M20,20)-MAX('CPM'!L20,15))*'Calendar'!$B$7</x:f>
        <x:v>0</x:v>
      </x:c>
      <x:c r="I20" s="21" t="n">
        <x:f>MAX(0,MIN('CPM'!M20,25)-MAX('CPM'!L20,20))*'Calendar'!$B$7</x:f>
        <x:v>0</x:v>
      </x:c>
      <x:c r="J20" s="21" t="n">
        <x:f>MAX(0,MIN('CPM'!M20,30)-MAX('CPM'!L20,25))*'Calendar'!$B$7</x:f>
        <x:v>0</x:v>
      </x:c>
      <x:c r="K20" s="21" t="n">
        <x:f>MAX(0,MIN('CPM'!M20,35)-MAX('CPM'!L20,30))*'Calendar'!$B$7</x:f>
        <x:v>0</x:v>
      </x:c>
      <x:c r="L20" s="21" t="n">
        <x:f>MAX(0,MIN('CPM'!M20,40)-MAX('CPM'!L20,35))*'Calendar'!$B$7</x:f>
        <x:v>0</x:v>
      </x:c>
      <x:c r="M20" s="21" t="n">
        <x:f>MAX(0,MIN('CPM'!M20,45)-MAX('CPM'!L20,40))*'Calendar'!$B$7</x:f>
        <x:v>0</x:v>
      </x:c>
      <x:c r="N20" s="21" t="n">
        <x:f>MAX(0,MIN('CPM'!M20,50)-MAX('CPM'!L20,45))*'Calendar'!$B$7</x:f>
        <x:v>0</x:v>
      </x:c>
      <x:c r="O20" s="21" t="n">
        <x:f>MAX(0,MIN('CPM'!M20,55)-MAX('CPM'!L20,50))*'Calendar'!$B$7</x:f>
        <x:v>0</x:v>
      </x:c>
      <x:c r="P20" s="21" t="n">
        <x:f>MAX(0,MIN('CPM'!M20,60)-MAX('CPM'!L20,55))*'Calendar'!$B$7</x:f>
        <x:v>0</x:v>
      </x:c>
      <x:c r="Q20" s="21" t="n">
        <x:f>MAX(0,MIN('CPM'!M20,65)-MAX('CPM'!L20,60))*'Calendar'!$B$7</x:f>
        <x:v>0</x:v>
      </x:c>
      <x:c r="R20" s="21" t="n">
        <x:f>MAX(0,MIN('CPM'!M20,70)-MAX('CPM'!L20,65))*'Calendar'!$B$7</x:f>
        <x:v>0</x:v>
      </x:c>
      <x:c r="S20" s="21" t="n">
        <x:f>MAX(0,MIN('CPM'!M20,75)-MAX('CPM'!L20,70))*'Calendar'!$B$7</x:f>
        <x:v>0</x:v>
      </x:c>
      <x:c r="T20" s="21" t="n">
        <x:f>MAX(0,MIN('CPM'!M20,80)-MAX('CPM'!L20,75))*'Calendar'!$B$7</x:f>
        <x:v>0</x:v>
      </x:c>
      <x:c r="U20" s="21" t="n">
        <x:f>MAX(0,MIN('CPM'!M20,85)-MAX('CPM'!L20,80))*'Calendar'!$B$7</x:f>
        <x:v>0</x:v>
      </x:c>
      <x:c r="V20" s="21" t="n">
        <x:f>MAX(0,MIN('CPM'!M20,90)-MAX('CPM'!L20,85))*'Calendar'!$B$7</x:f>
        <x:v>0</x:v>
      </x:c>
      <x:c r="W20" s="21" t="n">
        <x:f>MAX(0,MIN('CPM'!M20,95)-MAX('CPM'!L20,90))*'Calendar'!$B$7</x:f>
        <x:v>0</x:v>
      </x:c>
      <x:c r="X20" s="21" t="n">
        <x:f>MAX(0,MIN('CPM'!M20,100)-MAX('CPM'!L20,95))*'Calendar'!$B$7</x:f>
        <x:v>0</x:v>
      </x:c>
      <x:c r="Y20" s="21" t="n">
        <x:f>MAX(0,MIN('CPM'!M20,105)-MAX('CPM'!L20,100))*'Calendar'!$B$7</x:f>
        <x:v>0</x:v>
      </x:c>
      <x:c r="Z20" s="21" t="n">
        <x:f>MAX(0,MIN('CPM'!M20,110)-MAX('CPM'!L20,105))*'Calendar'!$B$7</x:f>
        <x:v>0</x:v>
      </x:c>
      <x:c r="AA20" s="21" t="n">
        <x:f>MAX(0,MIN('CPM'!M20,115)-MAX('CPM'!L20,110))*'Calendar'!$B$7</x:f>
        <x:v>5.000000000000028</x:v>
      </x:c>
      <x:c r="AB20" s="21" t="n">
        <x:f>MAX(0,MIN('CPM'!M20,120)-MAX('CPM'!L20,115))*'Calendar'!$B$7</x:f>
        <x:v>10</x:v>
      </x:c>
      <x:c r="AC20" s="21" t="n">
        <x:f>MAX(0,MIN('CPM'!M20,125)-MAX('CPM'!L20,120))*'Calendar'!$B$7</x:f>
        <x:v>0.3333333333333144</x:v>
      </x:c>
      <x:c r="AD20" s="21" t="n">
        <x:f>MAX(0,MIN('CPM'!M20,130)-MAX('CPM'!L20,125))*'Calendar'!$B$7</x:f>
        <x:v>0</x:v>
      </x:c>
      <x:c r="AE20" s="21" t="n">
        <x:f>MAX(0,MIN('CPM'!M20,135)-MAX('CPM'!L20,130))*'Calendar'!$B$7</x:f>
        <x:v>0</x:v>
      </x:c>
      <x:c r="AF20" s="21" t="n">
        <x:f>MAX(0,MIN('CPM'!M20,140)-MAX('CPM'!L20,135))*'Calendar'!$B$7</x:f>
        <x:v>0</x:v>
      </x:c>
      <x:c r="AG20" s="21" t="n">
        <x:f>MAX(0,MIN('CPM'!M20,145)-MAX('CPM'!L20,140))*'Calendar'!$B$7</x:f>
        <x:v>0</x:v>
      </x:c>
      <x:c r="AH20" s="21" t="n">
        <x:f>MAX(0,MIN('CPM'!M20,150)-MAX('CPM'!L20,145))*'Calendar'!$B$7</x:f>
        <x:v>0</x:v>
      </x:c>
      <x:c r="AI20" s="21" t="n">
        <x:f>MAX(0,MIN('CPM'!M20,155)-MAX('CPM'!L20,150))*'Calendar'!$B$7</x:f>
        <x:v>0</x:v>
      </x:c>
    </x:row>
    <x:row r="21" ht="35" customHeight="1">
      <x:c r="A21" s="6" t="str">
        <x:v>ACT-4.3.1-01</x:v>
      </x:c>
      <x:c r="B21" s="6" t="str">
        <x:v>Việt Quang</x:v>
      </x:c>
      <x:c r="C21" s="7" t="n">
        <x:f>WORKDAY('Calendar'!$B$4-1,INT('CPM'!L21)+1)</x:f>
        <x:v>46427</x:v>
      </x:c>
      <x:c r="D21" s="7" t="n">
        <x:f>WORKDAY('Calendar'!$B$4-1,MAX(1,ROUNDUP('CPM'!M21,0)))</x:f>
        <x:v>46430</x:v>
      </x:c>
      <x:c r="E21" s="21" t="n">
        <x:f>MAX(0,MIN('CPM'!M21,5)-MAX('CPM'!L21,0))*'Calendar'!$B$7</x:f>
        <x:v>0</x:v>
      </x:c>
      <x:c r="F21" s="21" t="n">
        <x:f>MAX(0,MIN('CPM'!M21,10)-MAX('CPM'!L21,5))*'Calendar'!$B$7</x:f>
        <x:v>0</x:v>
      </x:c>
      <x:c r="G21" s="21" t="n">
        <x:f>MAX(0,MIN('CPM'!M21,15)-MAX('CPM'!L21,10))*'Calendar'!$B$7</x:f>
        <x:v>0</x:v>
      </x:c>
      <x:c r="H21" s="21" t="n">
        <x:f>MAX(0,MIN('CPM'!M21,20)-MAX('CPM'!L21,15))*'Calendar'!$B$7</x:f>
        <x:v>0</x:v>
      </x:c>
      <x:c r="I21" s="21" t="n">
        <x:f>MAX(0,MIN('CPM'!M21,25)-MAX('CPM'!L21,20))*'Calendar'!$B$7</x:f>
        <x:v>0</x:v>
      </x:c>
      <x:c r="J21" s="21" t="n">
        <x:f>MAX(0,MIN('CPM'!M21,30)-MAX('CPM'!L21,25))*'Calendar'!$B$7</x:f>
        <x:v>0</x:v>
      </x:c>
      <x:c r="K21" s="21" t="n">
        <x:f>MAX(0,MIN('CPM'!M21,35)-MAX('CPM'!L21,30))*'Calendar'!$B$7</x:f>
        <x:v>0</x:v>
      </x:c>
      <x:c r="L21" s="21" t="n">
        <x:f>MAX(0,MIN('CPM'!M21,40)-MAX('CPM'!L21,35))*'Calendar'!$B$7</x:f>
        <x:v>0</x:v>
      </x:c>
      <x:c r="M21" s="21" t="n">
        <x:f>MAX(0,MIN('CPM'!M21,45)-MAX('CPM'!L21,40))*'Calendar'!$B$7</x:f>
        <x:v>0</x:v>
      </x:c>
      <x:c r="N21" s="21" t="n">
        <x:f>MAX(0,MIN('CPM'!M21,50)-MAX('CPM'!L21,45))*'Calendar'!$B$7</x:f>
        <x:v>0</x:v>
      </x:c>
      <x:c r="O21" s="21" t="n">
        <x:f>MAX(0,MIN('CPM'!M21,55)-MAX('CPM'!L21,50))*'Calendar'!$B$7</x:f>
        <x:v>0</x:v>
      </x:c>
      <x:c r="P21" s="21" t="n">
        <x:f>MAX(0,MIN('CPM'!M21,60)-MAX('CPM'!L21,55))*'Calendar'!$B$7</x:f>
        <x:v>0</x:v>
      </x:c>
      <x:c r="Q21" s="21" t="n">
        <x:f>MAX(0,MIN('CPM'!M21,65)-MAX('CPM'!L21,60))*'Calendar'!$B$7</x:f>
        <x:v>0</x:v>
      </x:c>
      <x:c r="R21" s="21" t="n">
        <x:f>MAX(0,MIN('CPM'!M21,70)-MAX('CPM'!L21,65))*'Calendar'!$B$7</x:f>
        <x:v>0</x:v>
      </x:c>
      <x:c r="S21" s="21" t="n">
        <x:f>MAX(0,MIN('CPM'!M21,75)-MAX('CPM'!L21,70))*'Calendar'!$B$7</x:f>
        <x:v>0</x:v>
      </x:c>
      <x:c r="T21" s="21" t="n">
        <x:f>MAX(0,MIN('CPM'!M21,80)-MAX('CPM'!L21,75))*'Calendar'!$B$7</x:f>
        <x:v>0</x:v>
      </x:c>
      <x:c r="U21" s="21" t="n">
        <x:f>MAX(0,MIN('CPM'!M21,85)-MAX('CPM'!L21,80))*'Calendar'!$B$7</x:f>
        <x:v>0</x:v>
      </x:c>
      <x:c r="V21" s="21" t="n">
        <x:f>MAX(0,MIN('CPM'!M21,90)-MAX('CPM'!L21,85))*'Calendar'!$B$7</x:f>
        <x:v>0</x:v>
      </x:c>
      <x:c r="W21" s="21" t="n">
        <x:f>MAX(0,MIN('CPM'!M21,95)-MAX('CPM'!L21,90))*'Calendar'!$B$7</x:f>
        <x:v>0</x:v>
      </x:c>
      <x:c r="X21" s="21" t="n">
        <x:f>MAX(0,MIN('CPM'!M21,100)-MAX('CPM'!L21,95))*'Calendar'!$B$7</x:f>
        <x:v>3.6666666666666856</x:v>
      </x:c>
      <x:c r="Y21" s="21" t="n">
        <x:f>MAX(0,MIN('CPM'!M21,105)-MAX('CPM'!L21,100))*'Calendar'!$B$7</x:f>
        <x:v>2.3333333333333144</x:v>
      </x:c>
      <x:c r="Z21" s="21" t="n">
        <x:f>MAX(0,MIN('CPM'!M21,110)-MAX('CPM'!L21,105))*'Calendar'!$B$7</x:f>
        <x:v>0</x:v>
      </x:c>
      <x:c r="AA21" s="21" t="n">
        <x:f>MAX(0,MIN('CPM'!M21,115)-MAX('CPM'!L21,110))*'Calendar'!$B$7</x:f>
        <x:v>0</x:v>
      </x:c>
      <x:c r="AB21" s="21" t="n">
        <x:f>MAX(0,MIN('CPM'!M21,120)-MAX('CPM'!L21,115))*'Calendar'!$B$7</x:f>
        <x:v>0</x:v>
      </x:c>
      <x:c r="AC21" s="21" t="n">
        <x:f>MAX(0,MIN('CPM'!M21,125)-MAX('CPM'!L21,120))*'Calendar'!$B$7</x:f>
        <x:v>0</x:v>
      </x:c>
      <x:c r="AD21" s="21" t="n">
        <x:f>MAX(0,MIN('CPM'!M21,130)-MAX('CPM'!L21,125))*'Calendar'!$B$7</x:f>
        <x:v>0</x:v>
      </x:c>
      <x:c r="AE21" s="21" t="n">
        <x:f>MAX(0,MIN('CPM'!M21,135)-MAX('CPM'!L21,130))*'Calendar'!$B$7</x:f>
        <x:v>0</x:v>
      </x:c>
      <x:c r="AF21" s="21" t="n">
        <x:f>MAX(0,MIN('CPM'!M21,140)-MAX('CPM'!L21,135))*'Calendar'!$B$7</x:f>
        <x:v>0</x:v>
      </x:c>
      <x:c r="AG21" s="21" t="n">
        <x:f>MAX(0,MIN('CPM'!M21,145)-MAX('CPM'!L21,140))*'Calendar'!$B$7</x:f>
        <x:v>0</x:v>
      </x:c>
      <x:c r="AH21" s="21" t="n">
        <x:f>MAX(0,MIN('CPM'!M21,150)-MAX('CPM'!L21,145))*'Calendar'!$B$7</x:f>
        <x:v>0</x:v>
      </x:c>
      <x:c r="AI21" s="21" t="n">
        <x:f>MAX(0,MIN('CPM'!M21,155)-MAX('CPM'!L21,150))*'Calendar'!$B$7</x:f>
        <x:v>0</x:v>
      </x:c>
    </x:row>
    <x:row r="22" ht="35" customHeight="1">
      <x:c r="A22" s="6" t="str">
        <x:v>ACT-4.3.1-02</x:v>
      </x:c>
      <x:c r="B22" s="6" t="str">
        <x:v>Việt Quang</x:v>
      </x:c>
      <x:c r="C22" s="7" t="n">
        <x:f>WORKDAY('Calendar'!$B$4-1,INT('CPM'!L22)+1)</x:f>
        <x:v>46430</x:v>
      </x:c>
      <x:c r="D22" s="7" t="n">
        <x:f>WORKDAY('Calendar'!$B$4-1,MAX(1,ROUNDUP('CPM'!M22,0)))</x:f>
        <x:v>46434</x:v>
      </x:c>
      <x:c r="E22" s="21" t="n">
        <x:f>MAX(0,MIN('CPM'!M22,5)-MAX('CPM'!L22,0))*'Calendar'!$B$7</x:f>
        <x:v>0</x:v>
      </x:c>
      <x:c r="F22" s="21" t="n">
        <x:f>MAX(0,MIN('CPM'!M22,10)-MAX('CPM'!L22,5))*'Calendar'!$B$7</x:f>
        <x:v>0</x:v>
      </x:c>
      <x:c r="G22" s="21" t="n">
        <x:f>MAX(0,MIN('CPM'!M22,15)-MAX('CPM'!L22,10))*'Calendar'!$B$7</x:f>
        <x:v>0</x:v>
      </x:c>
      <x:c r="H22" s="21" t="n">
        <x:f>MAX(0,MIN('CPM'!M22,20)-MAX('CPM'!L22,15))*'Calendar'!$B$7</x:f>
        <x:v>0</x:v>
      </x:c>
      <x:c r="I22" s="21" t="n">
        <x:f>MAX(0,MIN('CPM'!M22,25)-MAX('CPM'!L22,20))*'Calendar'!$B$7</x:f>
        <x:v>0</x:v>
      </x:c>
      <x:c r="J22" s="21" t="n">
        <x:f>MAX(0,MIN('CPM'!M22,30)-MAX('CPM'!L22,25))*'Calendar'!$B$7</x:f>
        <x:v>0</x:v>
      </x:c>
      <x:c r="K22" s="21" t="n">
        <x:f>MAX(0,MIN('CPM'!M22,35)-MAX('CPM'!L22,30))*'Calendar'!$B$7</x:f>
        <x:v>0</x:v>
      </x:c>
      <x:c r="L22" s="21" t="n">
        <x:f>MAX(0,MIN('CPM'!M22,40)-MAX('CPM'!L22,35))*'Calendar'!$B$7</x:f>
        <x:v>0</x:v>
      </x:c>
      <x:c r="M22" s="21" t="n">
        <x:f>MAX(0,MIN('CPM'!M22,45)-MAX('CPM'!L22,40))*'Calendar'!$B$7</x:f>
        <x:v>0</x:v>
      </x:c>
      <x:c r="N22" s="21" t="n">
        <x:f>MAX(0,MIN('CPM'!M22,50)-MAX('CPM'!L22,45))*'Calendar'!$B$7</x:f>
        <x:v>0</x:v>
      </x:c>
      <x:c r="O22" s="21" t="n">
        <x:f>MAX(0,MIN('CPM'!M22,55)-MAX('CPM'!L22,50))*'Calendar'!$B$7</x:f>
        <x:v>0</x:v>
      </x:c>
      <x:c r="P22" s="21" t="n">
        <x:f>MAX(0,MIN('CPM'!M22,60)-MAX('CPM'!L22,55))*'Calendar'!$B$7</x:f>
        <x:v>0</x:v>
      </x:c>
      <x:c r="Q22" s="21" t="n">
        <x:f>MAX(0,MIN('CPM'!M22,65)-MAX('CPM'!L22,60))*'Calendar'!$B$7</x:f>
        <x:v>0</x:v>
      </x:c>
      <x:c r="R22" s="21" t="n">
        <x:f>MAX(0,MIN('CPM'!M22,70)-MAX('CPM'!L22,65))*'Calendar'!$B$7</x:f>
        <x:v>0</x:v>
      </x:c>
      <x:c r="S22" s="21" t="n">
        <x:f>MAX(0,MIN('CPM'!M22,75)-MAX('CPM'!L22,70))*'Calendar'!$B$7</x:f>
        <x:v>0</x:v>
      </x:c>
      <x:c r="T22" s="21" t="n">
        <x:f>MAX(0,MIN('CPM'!M22,80)-MAX('CPM'!L22,75))*'Calendar'!$B$7</x:f>
        <x:v>0</x:v>
      </x:c>
      <x:c r="U22" s="21" t="n">
        <x:f>MAX(0,MIN('CPM'!M22,85)-MAX('CPM'!L22,80))*'Calendar'!$B$7</x:f>
        <x:v>0</x:v>
      </x:c>
      <x:c r="V22" s="21" t="n">
        <x:f>MAX(0,MIN('CPM'!M22,90)-MAX('CPM'!L22,85))*'Calendar'!$B$7</x:f>
        <x:v>0</x:v>
      </x:c>
      <x:c r="W22" s="21" t="n">
        <x:f>MAX(0,MIN('CPM'!M22,95)-MAX('CPM'!L22,90))*'Calendar'!$B$7</x:f>
        <x:v>0</x:v>
      </x:c>
      <x:c r="X22" s="21" t="n">
        <x:f>MAX(0,MIN('CPM'!M22,100)-MAX('CPM'!L22,95))*'Calendar'!$B$7</x:f>
        <x:v>0</x:v>
      </x:c>
      <x:c r="Y22" s="21" t="n">
        <x:f>MAX(0,MIN('CPM'!M22,105)-MAX('CPM'!L22,100))*'Calendar'!$B$7</x:f>
        <x:v>4</x:v>
      </x:c>
      <x:c r="Z22" s="21" t="n">
        <x:f>MAX(0,MIN('CPM'!M22,110)-MAX('CPM'!L22,105))*'Calendar'!$B$7</x:f>
        <x:v>0</x:v>
      </x:c>
      <x:c r="AA22" s="21" t="n">
        <x:f>MAX(0,MIN('CPM'!M22,115)-MAX('CPM'!L22,110))*'Calendar'!$B$7</x:f>
        <x:v>0</x:v>
      </x:c>
      <x:c r="AB22" s="21" t="n">
        <x:f>MAX(0,MIN('CPM'!M22,120)-MAX('CPM'!L22,115))*'Calendar'!$B$7</x:f>
        <x:v>0</x:v>
      </x:c>
      <x:c r="AC22" s="21" t="n">
        <x:f>MAX(0,MIN('CPM'!M22,125)-MAX('CPM'!L22,120))*'Calendar'!$B$7</x:f>
        <x:v>0</x:v>
      </x:c>
      <x:c r="AD22" s="21" t="n">
        <x:f>MAX(0,MIN('CPM'!M22,130)-MAX('CPM'!L22,125))*'Calendar'!$B$7</x:f>
        <x:v>0</x:v>
      </x:c>
      <x:c r="AE22" s="21" t="n">
        <x:f>MAX(0,MIN('CPM'!M22,135)-MAX('CPM'!L22,130))*'Calendar'!$B$7</x:f>
        <x:v>0</x:v>
      </x:c>
      <x:c r="AF22" s="21" t="n">
        <x:f>MAX(0,MIN('CPM'!M22,140)-MAX('CPM'!L22,135))*'Calendar'!$B$7</x:f>
        <x:v>0</x:v>
      </x:c>
      <x:c r="AG22" s="21" t="n">
        <x:f>MAX(0,MIN('CPM'!M22,145)-MAX('CPM'!L22,140))*'Calendar'!$B$7</x:f>
        <x:v>0</x:v>
      </x:c>
      <x:c r="AH22" s="21" t="n">
        <x:f>MAX(0,MIN('CPM'!M22,150)-MAX('CPM'!L22,145))*'Calendar'!$B$7</x:f>
        <x:v>0</x:v>
      </x:c>
      <x:c r="AI22" s="21" t="n">
        <x:f>MAX(0,MIN('CPM'!M22,155)-MAX('CPM'!L22,150))*'Calendar'!$B$7</x:f>
        <x:v>0</x:v>
      </x:c>
    </x:row>
    <x:row r="23" ht="35" customHeight="1">
      <x:c r="A23" s="6" t="str">
        <x:v>ACT-4.3.1-03</x:v>
      </x:c>
      <x:c r="B23" s="6" t="str">
        <x:v>Việt Quang</x:v>
      </x:c>
      <x:c r="C23" s="7" t="n">
        <x:f>WORKDAY('Calendar'!$B$4-1,INT('CPM'!L23)+1)</x:f>
        <x:v>46434</x:v>
      </x:c>
      <x:c r="D23" s="7" t="n">
        <x:f>WORKDAY('Calendar'!$B$4-1,MAX(1,ROUNDUP('CPM'!M23,0)))</x:f>
        <x:v>46436</x:v>
      </x:c>
      <x:c r="E23" s="21" t="n">
        <x:f>MAX(0,MIN('CPM'!M23,5)-MAX('CPM'!L23,0))*'Calendar'!$B$7</x:f>
        <x:v>0</x:v>
      </x:c>
      <x:c r="F23" s="21" t="n">
        <x:f>MAX(0,MIN('CPM'!M23,10)-MAX('CPM'!L23,5))*'Calendar'!$B$7</x:f>
        <x:v>0</x:v>
      </x:c>
      <x:c r="G23" s="21" t="n">
        <x:f>MAX(0,MIN('CPM'!M23,15)-MAX('CPM'!L23,10))*'Calendar'!$B$7</x:f>
        <x:v>0</x:v>
      </x:c>
      <x:c r="H23" s="21" t="n">
        <x:f>MAX(0,MIN('CPM'!M23,20)-MAX('CPM'!L23,15))*'Calendar'!$B$7</x:f>
        <x:v>0</x:v>
      </x:c>
      <x:c r="I23" s="21" t="n">
        <x:f>MAX(0,MIN('CPM'!M23,25)-MAX('CPM'!L23,20))*'Calendar'!$B$7</x:f>
        <x:v>0</x:v>
      </x:c>
      <x:c r="J23" s="21" t="n">
        <x:f>MAX(0,MIN('CPM'!M23,30)-MAX('CPM'!L23,25))*'Calendar'!$B$7</x:f>
        <x:v>0</x:v>
      </x:c>
      <x:c r="K23" s="21" t="n">
        <x:f>MAX(0,MIN('CPM'!M23,35)-MAX('CPM'!L23,30))*'Calendar'!$B$7</x:f>
        <x:v>0</x:v>
      </x:c>
      <x:c r="L23" s="21" t="n">
        <x:f>MAX(0,MIN('CPM'!M23,40)-MAX('CPM'!L23,35))*'Calendar'!$B$7</x:f>
        <x:v>0</x:v>
      </x:c>
      <x:c r="M23" s="21" t="n">
        <x:f>MAX(0,MIN('CPM'!M23,45)-MAX('CPM'!L23,40))*'Calendar'!$B$7</x:f>
        <x:v>0</x:v>
      </x:c>
      <x:c r="N23" s="21" t="n">
        <x:f>MAX(0,MIN('CPM'!M23,50)-MAX('CPM'!L23,45))*'Calendar'!$B$7</x:f>
        <x:v>0</x:v>
      </x:c>
      <x:c r="O23" s="21" t="n">
        <x:f>MAX(0,MIN('CPM'!M23,55)-MAX('CPM'!L23,50))*'Calendar'!$B$7</x:f>
        <x:v>0</x:v>
      </x:c>
      <x:c r="P23" s="21" t="n">
        <x:f>MAX(0,MIN('CPM'!M23,60)-MAX('CPM'!L23,55))*'Calendar'!$B$7</x:f>
        <x:v>0</x:v>
      </x:c>
      <x:c r="Q23" s="21" t="n">
        <x:f>MAX(0,MIN('CPM'!M23,65)-MAX('CPM'!L23,60))*'Calendar'!$B$7</x:f>
        <x:v>0</x:v>
      </x:c>
      <x:c r="R23" s="21" t="n">
        <x:f>MAX(0,MIN('CPM'!M23,70)-MAX('CPM'!L23,65))*'Calendar'!$B$7</x:f>
        <x:v>0</x:v>
      </x:c>
      <x:c r="S23" s="21" t="n">
        <x:f>MAX(0,MIN('CPM'!M23,75)-MAX('CPM'!L23,70))*'Calendar'!$B$7</x:f>
        <x:v>0</x:v>
      </x:c>
      <x:c r="T23" s="21" t="n">
        <x:f>MAX(0,MIN('CPM'!M23,80)-MAX('CPM'!L23,75))*'Calendar'!$B$7</x:f>
        <x:v>0</x:v>
      </x:c>
      <x:c r="U23" s="21" t="n">
        <x:f>MAX(0,MIN('CPM'!M23,85)-MAX('CPM'!L23,80))*'Calendar'!$B$7</x:f>
        <x:v>0</x:v>
      </x:c>
      <x:c r="V23" s="21" t="n">
        <x:f>MAX(0,MIN('CPM'!M23,90)-MAX('CPM'!L23,85))*'Calendar'!$B$7</x:f>
        <x:v>0</x:v>
      </x:c>
      <x:c r="W23" s="21" t="n">
        <x:f>MAX(0,MIN('CPM'!M23,95)-MAX('CPM'!L23,90))*'Calendar'!$B$7</x:f>
        <x:v>0</x:v>
      </x:c>
      <x:c r="X23" s="21" t="n">
        <x:f>MAX(0,MIN('CPM'!M23,100)-MAX('CPM'!L23,95))*'Calendar'!$B$7</x:f>
        <x:v>0</x:v>
      </x:c>
      <x:c r="Y23" s="21" t="n">
        <x:f>MAX(0,MIN('CPM'!M23,105)-MAX('CPM'!L23,100))*'Calendar'!$B$7</x:f>
        <x:v>3.6666666666666856</x:v>
      </x:c>
      <x:c r="Z23" s="21" t="n">
        <x:f>MAX(0,MIN('CPM'!M23,110)-MAX('CPM'!L23,105))*'Calendar'!$B$7</x:f>
        <x:v>0.3333333333333144</x:v>
      </x:c>
      <x:c r="AA23" s="21" t="n">
        <x:f>MAX(0,MIN('CPM'!M23,115)-MAX('CPM'!L23,110))*'Calendar'!$B$7</x:f>
        <x:v>0</x:v>
      </x:c>
      <x:c r="AB23" s="21" t="n">
        <x:f>MAX(0,MIN('CPM'!M23,120)-MAX('CPM'!L23,115))*'Calendar'!$B$7</x:f>
        <x:v>0</x:v>
      </x:c>
      <x:c r="AC23" s="21" t="n">
        <x:f>MAX(0,MIN('CPM'!M23,125)-MAX('CPM'!L23,120))*'Calendar'!$B$7</x:f>
        <x:v>0</x:v>
      </x:c>
      <x:c r="AD23" s="21" t="n">
        <x:f>MAX(0,MIN('CPM'!M23,130)-MAX('CPM'!L23,125))*'Calendar'!$B$7</x:f>
        <x:v>0</x:v>
      </x:c>
      <x:c r="AE23" s="21" t="n">
        <x:f>MAX(0,MIN('CPM'!M23,135)-MAX('CPM'!L23,130))*'Calendar'!$B$7</x:f>
        <x:v>0</x:v>
      </x:c>
      <x:c r="AF23" s="21" t="n">
        <x:f>MAX(0,MIN('CPM'!M23,140)-MAX('CPM'!L23,135))*'Calendar'!$B$7</x:f>
        <x:v>0</x:v>
      </x:c>
      <x:c r="AG23" s="21" t="n">
        <x:f>MAX(0,MIN('CPM'!M23,145)-MAX('CPM'!L23,140))*'Calendar'!$B$7</x:f>
        <x:v>0</x:v>
      </x:c>
      <x:c r="AH23" s="21" t="n">
        <x:f>MAX(0,MIN('CPM'!M23,150)-MAX('CPM'!L23,145))*'Calendar'!$B$7</x:f>
        <x:v>0</x:v>
      </x:c>
      <x:c r="AI23" s="21" t="n">
        <x:f>MAX(0,MIN('CPM'!M23,155)-MAX('CPM'!L23,150))*'Calendar'!$B$7</x:f>
        <x:v>0</x:v>
      </x:c>
    </x:row>
    <x:row r="24" ht="35" customHeight="1">
      <x:c r="A24" s="6" t="str">
        <x:v>ACT-4.3.2-01</x:v>
      </x:c>
      <x:c r="B24" s="6" t="str">
        <x:v>Việt Quang</x:v>
      </x:c>
      <x:c r="C24" s="7" t="n">
        <x:f>WORKDAY('Calendar'!$B$4-1,INT('CPM'!L24)+1)</x:f>
        <x:v>46436</x:v>
      </x:c>
      <x:c r="D24" s="7" t="n">
        <x:f>WORKDAY('Calendar'!$B$4-1,MAX(1,ROUNDUP('CPM'!M24,0)))</x:f>
        <x:v>46441</x:v>
      </x:c>
      <x:c r="E24" s="21" t="n">
        <x:f>MAX(0,MIN('CPM'!M24,5)-MAX('CPM'!L24,0))*'Calendar'!$B$7</x:f>
        <x:v>0</x:v>
      </x:c>
      <x:c r="F24" s="21" t="n">
        <x:f>MAX(0,MIN('CPM'!M24,10)-MAX('CPM'!L24,5))*'Calendar'!$B$7</x:f>
        <x:v>0</x:v>
      </x:c>
      <x:c r="G24" s="21" t="n">
        <x:f>MAX(0,MIN('CPM'!M24,15)-MAX('CPM'!L24,10))*'Calendar'!$B$7</x:f>
        <x:v>0</x:v>
      </x:c>
      <x:c r="H24" s="21" t="n">
        <x:f>MAX(0,MIN('CPM'!M24,20)-MAX('CPM'!L24,15))*'Calendar'!$B$7</x:f>
        <x:v>0</x:v>
      </x:c>
      <x:c r="I24" s="21" t="n">
        <x:f>MAX(0,MIN('CPM'!M24,25)-MAX('CPM'!L24,20))*'Calendar'!$B$7</x:f>
        <x:v>0</x:v>
      </x:c>
      <x:c r="J24" s="21" t="n">
        <x:f>MAX(0,MIN('CPM'!M24,30)-MAX('CPM'!L24,25))*'Calendar'!$B$7</x:f>
        <x:v>0</x:v>
      </x:c>
      <x:c r="K24" s="21" t="n">
        <x:f>MAX(0,MIN('CPM'!M24,35)-MAX('CPM'!L24,30))*'Calendar'!$B$7</x:f>
        <x:v>0</x:v>
      </x:c>
      <x:c r="L24" s="21" t="n">
        <x:f>MAX(0,MIN('CPM'!M24,40)-MAX('CPM'!L24,35))*'Calendar'!$B$7</x:f>
        <x:v>0</x:v>
      </x:c>
      <x:c r="M24" s="21" t="n">
        <x:f>MAX(0,MIN('CPM'!M24,45)-MAX('CPM'!L24,40))*'Calendar'!$B$7</x:f>
        <x:v>0</x:v>
      </x:c>
      <x:c r="N24" s="21" t="n">
        <x:f>MAX(0,MIN('CPM'!M24,50)-MAX('CPM'!L24,45))*'Calendar'!$B$7</x:f>
        <x:v>0</x:v>
      </x:c>
      <x:c r="O24" s="21" t="n">
        <x:f>MAX(0,MIN('CPM'!M24,55)-MAX('CPM'!L24,50))*'Calendar'!$B$7</x:f>
        <x:v>0</x:v>
      </x:c>
      <x:c r="P24" s="21" t="n">
        <x:f>MAX(0,MIN('CPM'!M24,60)-MAX('CPM'!L24,55))*'Calendar'!$B$7</x:f>
        <x:v>0</x:v>
      </x:c>
      <x:c r="Q24" s="21" t="n">
        <x:f>MAX(0,MIN('CPM'!M24,65)-MAX('CPM'!L24,60))*'Calendar'!$B$7</x:f>
        <x:v>0</x:v>
      </x:c>
      <x:c r="R24" s="21" t="n">
        <x:f>MAX(0,MIN('CPM'!M24,70)-MAX('CPM'!L24,65))*'Calendar'!$B$7</x:f>
        <x:v>0</x:v>
      </x:c>
      <x:c r="S24" s="21" t="n">
        <x:f>MAX(0,MIN('CPM'!M24,75)-MAX('CPM'!L24,70))*'Calendar'!$B$7</x:f>
        <x:v>0</x:v>
      </x:c>
      <x:c r="T24" s="21" t="n">
        <x:f>MAX(0,MIN('CPM'!M24,80)-MAX('CPM'!L24,75))*'Calendar'!$B$7</x:f>
        <x:v>0</x:v>
      </x:c>
      <x:c r="U24" s="21" t="n">
        <x:f>MAX(0,MIN('CPM'!M24,85)-MAX('CPM'!L24,80))*'Calendar'!$B$7</x:f>
        <x:v>0</x:v>
      </x:c>
      <x:c r="V24" s="21" t="n">
        <x:f>MAX(0,MIN('CPM'!M24,90)-MAX('CPM'!L24,85))*'Calendar'!$B$7</x:f>
        <x:v>0</x:v>
      </x:c>
      <x:c r="W24" s="21" t="n">
        <x:f>MAX(0,MIN('CPM'!M24,95)-MAX('CPM'!L24,90))*'Calendar'!$B$7</x:f>
        <x:v>0</x:v>
      </x:c>
      <x:c r="X24" s="21" t="n">
        <x:f>MAX(0,MIN('CPM'!M24,100)-MAX('CPM'!L24,95))*'Calendar'!$B$7</x:f>
        <x:v>0</x:v>
      </x:c>
      <x:c r="Y24" s="21" t="n">
        <x:f>MAX(0,MIN('CPM'!M24,105)-MAX('CPM'!L24,100))*'Calendar'!$B$7</x:f>
        <x:v>0</x:v>
      </x:c>
      <x:c r="Z24" s="21" t="n">
        <x:f>MAX(0,MIN('CPM'!M24,110)-MAX('CPM'!L24,105))*'Calendar'!$B$7</x:f>
        <x:v>6.666666666666657</x:v>
      </x:c>
      <x:c r="AA24" s="21" t="n">
        <x:f>MAX(0,MIN('CPM'!M24,115)-MAX('CPM'!L24,110))*'Calendar'!$B$7</x:f>
        <x:v>0</x:v>
      </x:c>
      <x:c r="AB24" s="21" t="n">
        <x:f>MAX(0,MIN('CPM'!M24,120)-MAX('CPM'!L24,115))*'Calendar'!$B$7</x:f>
        <x:v>0</x:v>
      </x:c>
      <x:c r="AC24" s="21" t="n">
        <x:f>MAX(0,MIN('CPM'!M24,125)-MAX('CPM'!L24,120))*'Calendar'!$B$7</x:f>
        <x:v>0</x:v>
      </x:c>
      <x:c r="AD24" s="21" t="n">
        <x:f>MAX(0,MIN('CPM'!M24,130)-MAX('CPM'!L24,125))*'Calendar'!$B$7</x:f>
        <x:v>0</x:v>
      </x:c>
      <x:c r="AE24" s="21" t="n">
        <x:f>MAX(0,MIN('CPM'!M24,135)-MAX('CPM'!L24,130))*'Calendar'!$B$7</x:f>
        <x:v>0</x:v>
      </x:c>
      <x:c r="AF24" s="21" t="n">
        <x:f>MAX(0,MIN('CPM'!M24,140)-MAX('CPM'!L24,135))*'Calendar'!$B$7</x:f>
        <x:v>0</x:v>
      </x:c>
      <x:c r="AG24" s="21" t="n">
        <x:f>MAX(0,MIN('CPM'!M24,145)-MAX('CPM'!L24,140))*'Calendar'!$B$7</x:f>
        <x:v>0</x:v>
      </x:c>
      <x:c r="AH24" s="21" t="n">
        <x:f>MAX(0,MIN('CPM'!M24,150)-MAX('CPM'!L24,145))*'Calendar'!$B$7</x:f>
        <x:v>0</x:v>
      </x:c>
      <x:c r="AI24" s="21" t="n">
        <x:f>MAX(0,MIN('CPM'!M24,155)-MAX('CPM'!L24,150))*'Calendar'!$B$7</x:f>
        <x:v>0</x:v>
      </x:c>
    </x:row>
    <x:row r="25" ht="35" customHeight="1">
      <x:c r="A25" s="6" t="str">
        <x:v>ACT-4.3.2-02</x:v>
      </x:c>
      <x:c r="B25" s="6" t="str">
        <x:v>Việt Quang</x:v>
      </x:c>
      <x:c r="C25" s="7" t="n">
        <x:f>WORKDAY('Calendar'!$B$4-1,INT('CPM'!L25)+1)</x:f>
        <x:v>46441</x:v>
      </x:c>
      <x:c r="D25" s="7" t="n">
        <x:f>WORKDAY('Calendar'!$B$4-1,MAX(1,ROUNDUP('CPM'!M25,0)))</x:f>
        <x:v>46448</x:v>
      </x:c>
      <x:c r="E25" s="21" t="n">
        <x:f>MAX(0,MIN('CPM'!M25,5)-MAX('CPM'!L25,0))*'Calendar'!$B$7</x:f>
        <x:v>0</x:v>
      </x:c>
      <x:c r="F25" s="21" t="n">
        <x:f>MAX(0,MIN('CPM'!M25,10)-MAX('CPM'!L25,5))*'Calendar'!$B$7</x:f>
        <x:v>0</x:v>
      </x:c>
      <x:c r="G25" s="21" t="n">
        <x:f>MAX(0,MIN('CPM'!M25,15)-MAX('CPM'!L25,10))*'Calendar'!$B$7</x:f>
        <x:v>0</x:v>
      </x:c>
      <x:c r="H25" s="21" t="n">
        <x:f>MAX(0,MIN('CPM'!M25,20)-MAX('CPM'!L25,15))*'Calendar'!$B$7</x:f>
        <x:v>0</x:v>
      </x:c>
      <x:c r="I25" s="21" t="n">
        <x:f>MAX(0,MIN('CPM'!M25,25)-MAX('CPM'!L25,20))*'Calendar'!$B$7</x:f>
        <x:v>0</x:v>
      </x:c>
      <x:c r="J25" s="21" t="n">
        <x:f>MAX(0,MIN('CPM'!M25,30)-MAX('CPM'!L25,25))*'Calendar'!$B$7</x:f>
        <x:v>0</x:v>
      </x:c>
      <x:c r="K25" s="21" t="n">
        <x:f>MAX(0,MIN('CPM'!M25,35)-MAX('CPM'!L25,30))*'Calendar'!$B$7</x:f>
        <x:v>0</x:v>
      </x:c>
      <x:c r="L25" s="21" t="n">
        <x:f>MAX(0,MIN('CPM'!M25,40)-MAX('CPM'!L25,35))*'Calendar'!$B$7</x:f>
        <x:v>0</x:v>
      </x:c>
      <x:c r="M25" s="21" t="n">
        <x:f>MAX(0,MIN('CPM'!M25,45)-MAX('CPM'!L25,40))*'Calendar'!$B$7</x:f>
        <x:v>0</x:v>
      </x:c>
      <x:c r="N25" s="21" t="n">
        <x:f>MAX(0,MIN('CPM'!M25,50)-MAX('CPM'!L25,45))*'Calendar'!$B$7</x:f>
        <x:v>0</x:v>
      </x:c>
      <x:c r="O25" s="21" t="n">
        <x:f>MAX(0,MIN('CPM'!M25,55)-MAX('CPM'!L25,50))*'Calendar'!$B$7</x:f>
        <x:v>0</x:v>
      </x:c>
      <x:c r="P25" s="21" t="n">
        <x:f>MAX(0,MIN('CPM'!M25,60)-MAX('CPM'!L25,55))*'Calendar'!$B$7</x:f>
        <x:v>0</x:v>
      </x:c>
      <x:c r="Q25" s="21" t="n">
        <x:f>MAX(0,MIN('CPM'!M25,65)-MAX('CPM'!L25,60))*'Calendar'!$B$7</x:f>
        <x:v>0</x:v>
      </x:c>
      <x:c r="R25" s="21" t="n">
        <x:f>MAX(0,MIN('CPM'!M25,70)-MAX('CPM'!L25,65))*'Calendar'!$B$7</x:f>
        <x:v>0</x:v>
      </x:c>
      <x:c r="S25" s="21" t="n">
        <x:f>MAX(0,MIN('CPM'!M25,75)-MAX('CPM'!L25,70))*'Calendar'!$B$7</x:f>
        <x:v>0</x:v>
      </x:c>
      <x:c r="T25" s="21" t="n">
        <x:f>MAX(0,MIN('CPM'!M25,80)-MAX('CPM'!L25,75))*'Calendar'!$B$7</x:f>
        <x:v>0</x:v>
      </x:c>
      <x:c r="U25" s="21" t="n">
        <x:f>MAX(0,MIN('CPM'!M25,85)-MAX('CPM'!L25,80))*'Calendar'!$B$7</x:f>
        <x:v>0</x:v>
      </x:c>
      <x:c r="V25" s="21" t="n">
        <x:f>MAX(0,MIN('CPM'!M25,90)-MAX('CPM'!L25,85))*'Calendar'!$B$7</x:f>
        <x:v>0</x:v>
      </x:c>
      <x:c r="W25" s="21" t="n">
        <x:f>MAX(0,MIN('CPM'!M25,95)-MAX('CPM'!L25,90))*'Calendar'!$B$7</x:f>
        <x:v>0</x:v>
      </x:c>
      <x:c r="X25" s="21" t="n">
        <x:f>MAX(0,MIN('CPM'!M25,100)-MAX('CPM'!L25,95))*'Calendar'!$B$7</x:f>
        <x:v>0</x:v>
      </x:c>
      <x:c r="Y25" s="21" t="n">
        <x:f>MAX(0,MIN('CPM'!M25,105)-MAX('CPM'!L25,100))*'Calendar'!$B$7</x:f>
        <x:v>0</x:v>
      </x:c>
      <x:c r="Z25" s="21" t="n">
        <x:f>MAX(0,MIN('CPM'!M25,110)-MAX('CPM'!L25,105))*'Calendar'!$B$7</x:f>
        <x:v>3.0000000000000284</x:v>
      </x:c>
      <x:c r="AA25" s="21" t="n">
        <x:f>MAX(0,MIN('CPM'!M25,115)-MAX('CPM'!L25,110))*'Calendar'!$B$7</x:f>
        <x:v>7.666666666666629</x:v>
      </x:c>
      <x:c r="AB25" s="21" t="n">
        <x:f>MAX(0,MIN('CPM'!M25,120)-MAX('CPM'!L25,115))*'Calendar'!$B$7</x:f>
        <x:v>0</x:v>
      </x:c>
      <x:c r="AC25" s="21" t="n">
        <x:f>MAX(0,MIN('CPM'!M25,125)-MAX('CPM'!L25,120))*'Calendar'!$B$7</x:f>
        <x:v>0</x:v>
      </x:c>
      <x:c r="AD25" s="21" t="n">
        <x:f>MAX(0,MIN('CPM'!M25,130)-MAX('CPM'!L25,125))*'Calendar'!$B$7</x:f>
        <x:v>0</x:v>
      </x:c>
      <x:c r="AE25" s="21" t="n">
        <x:f>MAX(0,MIN('CPM'!M25,135)-MAX('CPM'!L25,130))*'Calendar'!$B$7</x:f>
        <x:v>0</x:v>
      </x:c>
      <x:c r="AF25" s="21" t="n">
        <x:f>MAX(0,MIN('CPM'!M25,140)-MAX('CPM'!L25,135))*'Calendar'!$B$7</x:f>
        <x:v>0</x:v>
      </x:c>
      <x:c r="AG25" s="21" t="n">
        <x:f>MAX(0,MIN('CPM'!M25,145)-MAX('CPM'!L25,140))*'Calendar'!$B$7</x:f>
        <x:v>0</x:v>
      </x:c>
      <x:c r="AH25" s="21" t="n">
        <x:f>MAX(0,MIN('CPM'!M25,150)-MAX('CPM'!L25,145))*'Calendar'!$B$7</x:f>
        <x:v>0</x:v>
      </x:c>
      <x:c r="AI25" s="21" t="n">
        <x:f>MAX(0,MIN('CPM'!M25,155)-MAX('CPM'!L25,150))*'Calendar'!$B$7</x:f>
        <x:v>0</x:v>
      </x:c>
    </x:row>
    <x:row r="26" ht="35" customHeight="1">
      <x:c r="A26" s="6" t="str">
        <x:v>ACT-4.3.2-03</x:v>
      </x:c>
      <x:c r="B26" s="6" t="str">
        <x:v>Việt Quang</x:v>
      </x:c>
      <x:c r="C26" s="7" t="n">
        <x:f>WORKDAY('Calendar'!$B$4-1,INT('CPM'!L26)+1)</x:f>
        <x:v>46448</x:v>
      </x:c>
      <x:c r="D26" s="7" t="n">
        <x:f>WORKDAY('Calendar'!$B$4-1,MAX(1,ROUNDUP('CPM'!M26,0)))</x:f>
        <x:v>46454</x:v>
      </x:c>
      <x:c r="E26" s="21" t="n">
        <x:f>MAX(0,MIN('CPM'!M26,5)-MAX('CPM'!L26,0))*'Calendar'!$B$7</x:f>
        <x:v>0</x:v>
      </x:c>
      <x:c r="F26" s="21" t="n">
        <x:f>MAX(0,MIN('CPM'!M26,10)-MAX('CPM'!L26,5))*'Calendar'!$B$7</x:f>
        <x:v>0</x:v>
      </x:c>
      <x:c r="G26" s="21" t="n">
        <x:f>MAX(0,MIN('CPM'!M26,15)-MAX('CPM'!L26,10))*'Calendar'!$B$7</x:f>
        <x:v>0</x:v>
      </x:c>
      <x:c r="H26" s="21" t="n">
        <x:f>MAX(0,MIN('CPM'!M26,20)-MAX('CPM'!L26,15))*'Calendar'!$B$7</x:f>
        <x:v>0</x:v>
      </x:c>
      <x:c r="I26" s="21" t="n">
        <x:f>MAX(0,MIN('CPM'!M26,25)-MAX('CPM'!L26,20))*'Calendar'!$B$7</x:f>
        <x:v>0</x:v>
      </x:c>
      <x:c r="J26" s="21" t="n">
        <x:f>MAX(0,MIN('CPM'!M26,30)-MAX('CPM'!L26,25))*'Calendar'!$B$7</x:f>
        <x:v>0</x:v>
      </x:c>
      <x:c r="K26" s="21" t="n">
        <x:f>MAX(0,MIN('CPM'!M26,35)-MAX('CPM'!L26,30))*'Calendar'!$B$7</x:f>
        <x:v>0</x:v>
      </x:c>
      <x:c r="L26" s="21" t="n">
        <x:f>MAX(0,MIN('CPM'!M26,40)-MAX('CPM'!L26,35))*'Calendar'!$B$7</x:f>
        <x:v>0</x:v>
      </x:c>
      <x:c r="M26" s="21" t="n">
        <x:f>MAX(0,MIN('CPM'!M26,45)-MAX('CPM'!L26,40))*'Calendar'!$B$7</x:f>
        <x:v>0</x:v>
      </x:c>
      <x:c r="N26" s="21" t="n">
        <x:f>MAX(0,MIN('CPM'!M26,50)-MAX('CPM'!L26,45))*'Calendar'!$B$7</x:f>
        <x:v>0</x:v>
      </x:c>
      <x:c r="O26" s="21" t="n">
        <x:f>MAX(0,MIN('CPM'!M26,55)-MAX('CPM'!L26,50))*'Calendar'!$B$7</x:f>
        <x:v>0</x:v>
      </x:c>
      <x:c r="P26" s="21" t="n">
        <x:f>MAX(0,MIN('CPM'!M26,60)-MAX('CPM'!L26,55))*'Calendar'!$B$7</x:f>
        <x:v>0</x:v>
      </x:c>
      <x:c r="Q26" s="21" t="n">
        <x:f>MAX(0,MIN('CPM'!M26,65)-MAX('CPM'!L26,60))*'Calendar'!$B$7</x:f>
        <x:v>0</x:v>
      </x:c>
      <x:c r="R26" s="21" t="n">
        <x:f>MAX(0,MIN('CPM'!M26,70)-MAX('CPM'!L26,65))*'Calendar'!$B$7</x:f>
        <x:v>0</x:v>
      </x:c>
      <x:c r="S26" s="21" t="n">
        <x:f>MAX(0,MIN('CPM'!M26,75)-MAX('CPM'!L26,70))*'Calendar'!$B$7</x:f>
        <x:v>0</x:v>
      </x:c>
      <x:c r="T26" s="21" t="n">
        <x:f>MAX(0,MIN('CPM'!M26,80)-MAX('CPM'!L26,75))*'Calendar'!$B$7</x:f>
        <x:v>0</x:v>
      </x:c>
      <x:c r="U26" s="21" t="n">
        <x:f>MAX(0,MIN('CPM'!M26,85)-MAX('CPM'!L26,80))*'Calendar'!$B$7</x:f>
        <x:v>0</x:v>
      </x:c>
      <x:c r="V26" s="21" t="n">
        <x:f>MAX(0,MIN('CPM'!M26,90)-MAX('CPM'!L26,85))*'Calendar'!$B$7</x:f>
        <x:v>0</x:v>
      </x:c>
      <x:c r="W26" s="21" t="n">
        <x:f>MAX(0,MIN('CPM'!M26,95)-MAX('CPM'!L26,90))*'Calendar'!$B$7</x:f>
        <x:v>0</x:v>
      </x:c>
      <x:c r="X26" s="21" t="n">
        <x:f>MAX(0,MIN('CPM'!M26,100)-MAX('CPM'!L26,95))*'Calendar'!$B$7</x:f>
        <x:v>0</x:v>
      </x:c>
      <x:c r="Y26" s="21" t="n">
        <x:f>MAX(0,MIN('CPM'!M26,105)-MAX('CPM'!L26,100))*'Calendar'!$B$7</x:f>
        <x:v>0</x:v>
      </x:c>
      <x:c r="Z26" s="21" t="n">
        <x:f>MAX(0,MIN('CPM'!M26,110)-MAX('CPM'!L26,105))*'Calendar'!$B$7</x:f>
        <x:v>0</x:v>
      </x:c>
      <x:c r="AA26" s="21" t="n">
        <x:f>MAX(0,MIN('CPM'!M26,115)-MAX('CPM'!L26,110))*'Calendar'!$B$7</x:f>
        <x:v>2.3333333333333712</x:v>
      </x:c>
      <x:c r="AB26" s="21" t="n">
        <x:f>MAX(0,MIN('CPM'!M26,120)-MAX('CPM'!L26,115))*'Calendar'!$B$7</x:f>
        <x:v>4.333333333333286</x:v>
      </x:c>
      <x:c r="AC26" s="21" t="n">
        <x:f>MAX(0,MIN('CPM'!M26,125)-MAX('CPM'!L26,120))*'Calendar'!$B$7</x:f>
        <x:v>0</x:v>
      </x:c>
      <x:c r="AD26" s="21" t="n">
        <x:f>MAX(0,MIN('CPM'!M26,130)-MAX('CPM'!L26,125))*'Calendar'!$B$7</x:f>
        <x:v>0</x:v>
      </x:c>
      <x:c r="AE26" s="21" t="n">
        <x:f>MAX(0,MIN('CPM'!M26,135)-MAX('CPM'!L26,130))*'Calendar'!$B$7</x:f>
        <x:v>0</x:v>
      </x:c>
      <x:c r="AF26" s="21" t="n">
        <x:f>MAX(0,MIN('CPM'!M26,140)-MAX('CPM'!L26,135))*'Calendar'!$B$7</x:f>
        <x:v>0</x:v>
      </x:c>
      <x:c r="AG26" s="21" t="n">
        <x:f>MAX(0,MIN('CPM'!M26,145)-MAX('CPM'!L26,140))*'Calendar'!$B$7</x:f>
        <x:v>0</x:v>
      </x:c>
      <x:c r="AH26" s="21" t="n">
        <x:f>MAX(0,MIN('CPM'!M26,150)-MAX('CPM'!L26,145))*'Calendar'!$B$7</x:f>
        <x:v>0</x:v>
      </x:c>
      <x:c r="AI26" s="21" t="n">
        <x:f>MAX(0,MIN('CPM'!M26,155)-MAX('CPM'!L26,150))*'Calendar'!$B$7</x:f>
        <x:v>0</x:v>
      </x:c>
    </x:row>
    <x:row r="27" ht="35" customHeight="1">
      <x:c r="A27" s="6" t="str">
        <x:v>ACT-4.3.3-01</x:v>
      </x:c>
      <x:c r="B27" s="6" t="str">
        <x:v>Việt Quang</x:v>
      </x:c>
      <x:c r="C27" s="7" t="n">
        <x:f>WORKDAY('Calendar'!$B$4-1,INT('CPM'!L27)+1)</x:f>
        <x:v>46454</x:v>
      </x:c>
      <x:c r="D27" s="7" t="n">
        <x:f>WORKDAY('Calendar'!$B$4-1,MAX(1,ROUNDUP('CPM'!M27,0)))</x:f>
        <x:v>46457</x:v>
      </x:c>
      <x:c r="E27" s="21" t="n">
        <x:f>MAX(0,MIN('CPM'!M27,5)-MAX('CPM'!L27,0))*'Calendar'!$B$7</x:f>
        <x:v>0</x:v>
      </x:c>
      <x:c r="F27" s="21" t="n">
        <x:f>MAX(0,MIN('CPM'!M27,10)-MAX('CPM'!L27,5))*'Calendar'!$B$7</x:f>
        <x:v>0</x:v>
      </x:c>
      <x:c r="G27" s="21" t="n">
        <x:f>MAX(0,MIN('CPM'!M27,15)-MAX('CPM'!L27,10))*'Calendar'!$B$7</x:f>
        <x:v>0</x:v>
      </x:c>
      <x:c r="H27" s="21" t="n">
        <x:f>MAX(0,MIN('CPM'!M27,20)-MAX('CPM'!L27,15))*'Calendar'!$B$7</x:f>
        <x:v>0</x:v>
      </x:c>
      <x:c r="I27" s="21" t="n">
        <x:f>MAX(0,MIN('CPM'!M27,25)-MAX('CPM'!L27,20))*'Calendar'!$B$7</x:f>
        <x:v>0</x:v>
      </x:c>
      <x:c r="J27" s="21" t="n">
        <x:f>MAX(0,MIN('CPM'!M27,30)-MAX('CPM'!L27,25))*'Calendar'!$B$7</x:f>
        <x:v>0</x:v>
      </x:c>
      <x:c r="K27" s="21" t="n">
        <x:f>MAX(0,MIN('CPM'!M27,35)-MAX('CPM'!L27,30))*'Calendar'!$B$7</x:f>
        <x:v>0</x:v>
      </x:c>
      <x:c r="L27" s="21" t="n">
        <x:f>MAX(0,MIN('CPM'!M27,40)-MAX('CPM'!L27,35))*'Calendar'!$B$7</x:f>
        <x:v>0</x:v>
      </x:c>
      <x:c r="M27" s="21" t="n">
        <x:f>MAX(0,MIN('CPM'!M27,45)-MAX('CPM'!L27,40))*'Calendar'!$B$7</x:f>
        <x:v>0</x:v>
      </x:c>
      <x:c r="N27" s="21" t="n">
        <x:f>MAX(0,MIN('CPM'!M27,50)-MAX('CPM'!L27,45))*'Calendar'!$B$7</x:f>
        <x:v>0</x:v>
      </x:c>
      <x:c r="O27" s="21" t="n">
        <x:f>MAX(0,MIN('CPM'!M27,55)-MAX('CPM'!L27,50))*'Calendar'!$B$7</x:f>
        <x:v>0</x:v>
      </x:c>
      <x:c r="P27" s="21" t="n">
        <x:f>MAX(0,MIN('CPM'!M27,60)-MAX('CPM'!L27,55))*'Calendar'!$B$7</x:f>
        <x:v>0</x:v>
      </x:c>
      <x:c r="Q27" s="21" t="n">
        <x:f>MAX(0,MIN('CPM'!M27,65)-MAX('CPM'!L27,60))*'Calendar'!$B$7</x:f>
        <x:v>0</x:v>
      </x:c>
      <x:c r="R27" s="21" t="n">
        <x:f>MAX(0,MIN('CPM'!M27,70)-MAX('CPM'!L27,65))*'Calendar'!$B$7</x:f>
        <x:v>0</x:v>
      </x:c>
      <x:c r="S27" s="21" t="n">
        <x:f>MAX(0,MIN('CPM'!M27,75)-MAX('CPM'!L27,70))*'Calendar'!$B$7</x:f>
        <x:v>0</x:v>
      </x:c>
      <x:c r="T27" s="21" t="n">
        <x:f>MAX(0,MIN('CPM'!M27,80)-MAX('CPM'!L27,75))*'Calendar'!$B$7</x:f>
        <x:v>0</x:v>
      </x:c>
      <x:c r="U27" s="21" t="n">
        <x:f>MAX(0,MIN('CPM'!M27,85)-MAX('CPM'!L27,80))*'Calendar'!$B$7</x:f>
        <x:v>0</x:v>
      </x:c>
      <x:c r="V27" s="21" t="n">
        <x:f>MAX(0,MIN('CPM'!M27,90)-MAX('CPM'!L27,85))*'Calendar'!$B$7</x:f>
        <x:v>0</x:v>
      </x:c>
      <x:c r="W27" s="21" t="n">
        <x:f>MAX(0,MIN('CPM'!M27,95)-MAX('CPM'!L27,90))*'Calendar'!$B$7</x:f>
        <x:v>0</x:v>
      </x:c>
      <x:c r="X27" s="21" t="n">
        <x:f>MAX(0,MIN('CPM'!M27,100)-MAX('CPM'!L27,95))*'Calendar'!$B$7</x:f>
        <x:v>0</x:v>
      </x:c>
      <x:c r="Y27" s="21" t="n">
        <x:f>MAX(0,MIN('CPM'!M27,105)-MAX('CPM'!L27,100))*'Calendar'!$B$7</x:f>
        <x:v>0</x:v>
      </x:c>
      <x:c r="Z27" s="21" t="n">
        <x:f>MAX(0,MIN('CPM'!M27,110)-MAX('CPM'!L27,105))*'Calendar'!$B$7</x:f>
        <x:v>0</x:v>
      </x:c>
      <x:c r="AA27" s="21" t="n">
        <x:f>MAX(0,MIN('CPM'!M27,115)-MAX('CPM'!L27,110))*'Calendar'!$B$7</x:f>
        <x:v>0</x:v>
      </x:c>
      <x:c r="AB27" s="21" t="n">
        <x:f>MAX(0,MIN('CPM'!M27,120)-MAX('CPM'!L27,115))*'Calendar'!$B$7</x:f>
        <x:v>5.666666666666714</x:v>
      </x:c>
      <x:c r="AC27" s="21" t="n">
        <x:f>MAX(0,MIN('CPM'!M27,125)-MAX('CPM'!L27,120))*'Calendar'!$B$7</x:f>
        <x:v>1.9999999999999432</x:v>
      </x:c>
      <x:c r="AD27" s="21" t="n">
        <x:f>MAX(0,MIN('CPM'!M27,130)-MAX('CPM'!L27,125))*'Calendar'!$B$7</x:f>
        <x:v>0</x:v>
      </x:c>
      <x:c r="AE27" s="21" t="n">
        <x:f>MAX(0,MIN('CPM'!M27,135)-MAX('CPM'!L27,130))*'Calendar'!$B$7</x:f>
        <x:v>0</x:v>
      </x:c>
      <x:c r="AF27" s="21" t="n">
        <x:f>MAX(0,MIN('CPM'!M27,140)-MAX('CPM'!L27,135))*'Calendar'!$B$7</x:f>
        <x:v>0</x:v>
      </x:c>
      <x:c r="AG27" s="21" t="n">
        <x:f>MAX(0,MIN('CPM'!M27,145)-MAX('CPM'!L27,140))*'Calendar'!$B$7</x:f>
        <x:v>0</x:v>
      </x:c>
      <x:c r="AH27" s="21" t="n">
        <x:f>MAX(0,MIN('CPM'!M27,150)-MAX('CPM'!L27,145))*'Calendar'!$B$7</x:f>
        <x:v>0</x:v>
      </x:c>
      <x:c r="AI27" s="21" t="n">
        <x:f>MAX(0,MIN('CPM'!M27,155)-MAX('CPM'!L27,150))*'Calendar'!$B$7</x:f>
        <x:v>0</x:v>
      </x:c>
    </x:row>
    <x:row r="28" ht="35" customHeight="1">
      <x:c r="A28" s="6" t="str">
        <x:v>ACT-4.3.3-02</x:v>
      </x:c>
      <x:c r="B28" s="6" t="str">
        <x:v>Việt Quang</x:v>
      </x:c>
      <x:c r="C28" s="7" t="n">
        <x:f>WORKDAY('Calendar'!$B$4-1,INT('CPM'!L28)+1)</x:f>
        <x:v>46457</x:v>
      </x:c>
      <x:c r="D28" s="7" t="n">
        <x:f>WORKDAY('Calendar'!$B$4-1,MAX(1,ROUNDUP('CPM'!M28,0)))</x:f>
        <x:v>46468</x:v>
      </x:c>
      <x:c r="E28" s="21" t="n">
        <x:f>MAX(0,MIN('CPM'!M28,5)-MAX('CPM'!L28,0))*'Calendar'!$B$7</x:f>
        <x:v>0</x:v>
      </x:c>
      <x:c r="F28" s="21" t="n">
        <x:f>MAX(0,MIN('CPM'!M28,10)-MAX('CPM'!L28,5))*'Calendar'!$B$7</x:f>
        <x:v>0</x:v>
      </x:c>
      <x:c r="G28" s="21" t="n">
        <x:f>MAX(0,MIN('CPM'!M28,15)-MAX('CPM'!L28,10))*'Calendar'!$B$7</x:f>
        <x:v>0</x:v>
      </x:c>
      <x:c r="H28" s="21" t="n">
        <x:f>MAX(0,MIN('CPM'!M28,20)-MAX('CPM'!L28,15))*'Calendar'!$B$7</x:f>
        <x:v>0</x:v>
      </x:c>
      <x:c r="I28" s="21" t="n">
        <x:f>MAX(0,MIN('CPM'!M28,25)-MAX('CPM'!L28,20))*'Calendar'!$B$7</x:f>
        <x:v>0</x:v>
      </x:c>
      <x:c r="J28" s="21" t="n">
        <x:f>MAX(0,MIN('CPM'!M28,30)-MAX('CPM'!L28,25))*'Calendar'!$B$7</x:f>
        <x:v>0</x:v>
      </x:c>
      <x:c r="K28" s="21" t="n">
        <x:f>MAX(0,MIN('CPM'!M28,35)-MAX('CPM'!L28,30))*'Calendar'!$B$7</x:f>
        <x:v>0</x:v>
      </x:c>
      <x:c r="L28" s="21" t="n">
        <x:f>MAX(0,MIN('CPM'!M28,40)-MAX('CPM'!L28,35))*'Calendar'!$B$7</x:f>
        <x:v>0</x:v>
      </x:c>
      <x:c r="M28" s="21" t="n">
        <x:f>MAX(0,MIN('CPM'!M28,45)-MAX('CPM'!L28,40))*'Calendar'!$B$7</x:f>
        <x:v>0</x:v>
      </x:c>
      <x:c r="N28" s="21" t="n">
        <x:f>MAX(0,MIN('CPM'!M28,50)-MAX('CPM'!L28,45))*'Calendar'!$B$7</x:f>
        <x:v>0</x:v>
      </x:c>
      <x:c r="O28" s="21" t="n">
        <x:f>MAX(0,MIN('CPM'!M28,55)-MAX('CPM'!L28,50))*'Calendar'!$B$7</x:f>
        <x:v>0</x:v>
      </x:c>
      <x:c r="P28" s="21" t="n">
        <x:f>MAX(0,MIN('CPM'!M28,60)-MAX('CPM'!L28,55))*'Calendar'!$B$7</x:f>
        <x:v>0</x:v>
      </x:c>
      <x:c r="Q28" s="21" t="n">
        <x:f>MAX(0,MIN('CPM'!M28,65)-MAX('CPM'!L28,60))*'Calendar'!$B$7</x:f>
        <x:v>0</x:v>
      </x:c>
      <x:c r="R28" s="21" t="n">
        <x:f>MAX(0,MIN('CPM'!M28,70)-MAX('CPM'!L28,65))*'Calendar'!$B$7</x:f>
        <x:v>0</x:v>
      </x:c>
      <x:c r="S28" s="21" t="n">
        <x:f>MAX(0,MIN('CPM'!M28,75)-MAX('CPM'!L28,70))*'Calendar'!$B$7</x:f>
        <x:v>0</x:v>
      </x:c>
      <x:c r="T28" s="21" t="n">
        <x:f>MAX(0,MIN('CPM'!M28,80)-MAX('CPM'!L28,75))*'Calendar'!$B$7</x:f>
        <x:v>0</x:v>
      </x:c>
      <x:c r="U28" s="21" t="n">
        <x:f>MAX(0,MIN('CPM'!M28,85)-MAX('CPM'!L28,80))*'Calendar'!$B$7</x:f>
        <x:v>0</x:v>
      </x:c>
      <x:c r="V28" s="21" t="n">
        <x:f>MAX(0,MIN('CPM'!M28,90)-MAX('CPM'!L28,85))*'Calendar'!$B$7</x:f>
        <x:v>0</x:v>
      </x:c>
      <x:c r="W28" s="21" t="n">
        <x:f>MAX(0,MIN('CPM'!M28,95)-MAX('CPM'!L28,90))*'Calendar'!$B$7</x:f>
        <x:v>0</x:v>
      </x:c>
      <x:c r="X28" s="21" t="n">
        <x:f>MAX(0,MIN('CPM'!M28,100)-MAX('CPM'!L28,95))*'Calendar'!$B$7</x:f>
        <x:v>0</x:v>
      </x:c>
      <x:c r="Y28" s="21" t="n">
        <x:f>MAX(0,MIN('CPM'!M28,105)-MAX('CPM'!L28,100))*'Calendar'!$B$7</x:f>
        <x:v>0</x:v>
      </x:c>
      <x:c r="Z28" s="21" t="n">
        <x:f>MAX(0,MIN('CPM'!M28,110)-MAX('CPM'!L28,105))*'Calendar'!$B$7</x:f>
        <x:v>0</x:v>
      </x:c>
      <x:c r="AA28" s="21" t="n">
        <x:f>MAX(0,MIN('CPM'!M28,115)-MAX('CPM'!L28,110))*'Calendar'!$B$7</x:f>
        <x:v>0</x:v>
      </x:c>
      <x:c r="AB28" s="21" t="n">
        <x:f>MAX(0,MIN('CPM'!M28,120)-MAX('CPM'!L28,115))*'Calendar'!$B$7</x:f>
        <x:v>0</x:v>
      </x:c>
      <x:c r="AC28" s="21" t="n">
        <x:f>MAX(0,MIN('CPM'!M28,125)-MAX('CPM'!L28,120))*'Calendar'!$B$7</x:f>
        <x:v>8.000000000000057</x:v>
      </x:c>
      <x:c r="AD28" s="21" t="n">
        <x:f>MAX(0,MIN('CPM'!M28,130)-MAX('CPM'!L28,125))*'Calendar'!$B$7</x:f>
        <x:v>4.333333333333286</x:v>
      </x:c>
      <x:c r="AE28" s="21" t="n">
        <x:f>MAX(0,MIN('CPM'!M28,135)-MAX('CPM'!L28,130))*'Calendar'!$B$7</x:f>
        <x:v>0</x:v>
      </x:c>
      <x:c r="AF28" s="21" t="n">
        <x:f>MAX(0,MIN('CPM'!M28,140)-MAX('CPM'!L28,135))*'Calendar'!$B$7</x:f>
        <x:v>0</x:v>
      </x:c>
      <x:c r="AG28" s="21" t="n">
        <x:f>MAX(0,MIN('CPM'!M28,145)-MAX('CPM'!L28,140))*'Calendar'!$B$7</x:f>
        <x:v>0</x:v>
      </x:c>
      <x:c r="AH28" s="21" t="n">
        <x:f>MAX(0,MIN('CPM'!M28,150)-MAX('CPM'!L28,145))*'Calendar'!$B$7</x:f>
        <x:v>0</x:v>
      </x:c>
      <x:c r="AI28" s="21" t="n">
        <x:f>MAX(0,MIN('CPM'!M28,155)-MAX('CPM'!L28,150))*'Calendar'!$B$7</x:f>
        <x:v>0</x:v>
      </x:c>
    </x:row>
    <x:row r="29" ht="35" customHeight="1">
      <x:c r="A29" s="6" t="str">
        <x:v>ACT-4.3.3-03</x:v>
      </x:c>
      <x:c r="B29" s="6" t="str">
        <x:v>Việt Quang</x:v>
      </x:c>
      <x:c r="C29" s="7" t="n">
        <x:f>WORKDAY('Calendar'!$B$4-1,INT('CPM'!L29)+1)</x:f>
        <x:v>46468</x:v>
      </x:c>
      <x:c r="D29" s="7" t="n">
        <x:f>WORKDAY('Calendar'!$B$4-1,MAX(1,ROUNDUP('CPM'!M29,0)))</x:f>
        <x:v>46471</x:v>
      </x:c>
      <x:c r="E29" s="21" t="n">
        <x:f>MAX(0,MIN('CPM'!M29,5)-MAX('CPM'!L29,0))*'Calendar'!$B$7</x:f>
        <x:v>0</x:v>
      </x:c>
      <x:c r="F29" s="21" t="n">
        <x:f>MAX(0,MIN('CPM'!M29,10)-MAX('CPM'!L29,5))*'Calendar'!$B$7</x:f>
        <x:v>0</x:v>
      </x:c>
      <x:c r="G29" s="21" t="n">
        <x:f>MAX(0,MIN('CPM'!M29,15)-MAX('CPM'!L29,10))*'Calendar'!$B$7</x:f>
        <x:v>0</x:v>
      </x:c>
      <x:c r="H29" s="21" t="n">
        <x:f>MAX(0,MIN('CPM'!M29,20)-MAX('CPM'!L29,15))*'Calendar'!$B$7</x:f>
        <x:v>0</x:v>
      </x:c>
      <x:c r="I29" s="21" t="n">
        <x:f>MAX(0,MIN('CPM'!M29,25)-MAX('CPM'!L29,20))*'Calendar'!$B$7</x:f>
        <x:v>0</x:v>
      </x:c>
      <x:c r="J29" s="21" t="n">
        <x:f>MAX(0,MIN('CPM'!M29,30)-MAX('CPM'!L29,25))*'Calendar'!$B$7</x:f>
        <x:v>0</x:v>
      </x:c>
      <x:c r="K29" s="21" t="n">
        <x:f>MAX(0,MIN('CPM'!M29,35)-MAX('CPM'!L29,30))*'Calendar'!$B$7</x:f>
        <x:v>0</x:v>
      </x:c>
      <x:c r="L29" s="21" t="n">
        <x:f>MAX(0,MIN('CPM'!M29,40)-MAX('CPM'!L29,35))*'Calendar'!$B$7</x:f>
        <x:v>0</x:v>
      </x:c>
      <x:c r="M29" s="21" t="n">
        <x:f>MAX(0,MIN('CPM'!M29,45)-MAX('CPM'!L29,40))*'Calendar'!$B$7</x:f>
        <x:v>0</x:v>
      </x:c>
      <x:c r="N29" s="21" t="n">
        <x:f>MAX(0,MIN('CPM'!M29,50)-MAX('CPM'!L29,45))*'Calendar'!$B$7</x:f>
        <x:v>0</x:v>
      </x:c>
      <x:c r="O29" s="21" t="n">
        <x:f>MAX(0,MIN('CPM'!M29,55)-MAX('CPM'!L29,50))*'Calendar'!$B$7</x:f>
        <x:v>0</x:v>
      </x:c>
      <x:c r="P29" s="21" t="n">
        <x:f>MAX(0,MIN('CPM'!M29,60)-MAX('CPM'!L29,55))*'Calendar'!$B$7</x:f>
        <x:v>0</x:v>
      </x:c>
      <x:c r="Q29" s="21" t="n">
        <x:f>MAX(0,MIN('CPM'!M29,65)-MAX('CPM'!L29,60))*'Calendar'!$B$7</x:f>
        <x:v>0</x:v>
      </x:c>
      <x:c r="R29" s="21" t="n">
        <x:f>MAX(0,MIN('CPM'!M29,70)-MAX('CPM'!L29,65))*'Calendar'!$B$7</x:f>
        <x:v>0</x:v>
      </x:c>
      <x:c r="S29" s="21" t="n">
        <x:f>MAX(0,MIN('CPM'!M29,75)-MAX('CPM'!L29,70))*'Calendar'!$B$7</x:f>
        <x:v>0</x:v>
      </x:c>
      <x:c r="T29" s="21" t="n">
        <x:f>MAX(0,MIN('CPM'!M29,80)-MAX('CPM'!L29,75))*'Calendar'!$B$7</x:f>
        <x:v>0</x:v>
      </x:c>
      <x:c r="U29" s="21" t="n">
        <x:f>MAX(0,MIN('CPM'!M29,85)-MAX('CPM'!L29,80))*'Calendar'!$B$7</x:f>
        <x:v>0</x:v>
      </x:c>
      <x:c r="V29" s="21" t="n">
        <x:f>MAX(0,MIN('CPM'!M29,90)-MAX('CPM'!L29,85))*'Calendar'!$B$7</x:f>
        <x:v>0</x:v>
      </x:c>
      <x:c r="W29" s="21" t="n">
        <x:f>MAX(0,MIN('CPM'!M29,95)-MAX('CPM'!L29,90))*'Calendar'!$B$7</x:f>
        <x:v>0</x:v>
      </x:c>
      <x:c r="X29" s="21" t="n">
        <x:f>MAX(0,MIN('CPM'!M29,100)-MAX('CPM'!L29,95))*'Calendar'!$B$7</x:f>
        <x:v>0</x:v>
      </x:c>
      <x:c r="Y29" s="21" t="n">
        <x:f>MAX(0,MIN('CPM'!M29,105)-MAX('CPM'!L29,100))*'Calendar'!$B$7</x:f>
        <x:v>0</x:v>
      </x:c>
      <x:c r="Z29" s="21" t="n">
        <x:f>MAX(0,MIN('CPM'!M29,110)-MAX('CPM'!L29,105))*'Calendar'!$B$7</x:f>
        <x:v>0</x:v>
      </x:c>
      <x:c r="AA29" s="21" t="n">
        <x:f>MAX(0,MIN('CPM'!M29,115)-MAX('CPM'!L29,110))*'Calendar'!$B$7</x:f>
        <x:v>0</x:v>
      </x:c>
      <x:c r="AB29" s="21" t="n">
        <x:f>MAX(0,MIN('CPM'!M29,120)-MAX('CPM'!L29,115))*'Calendar'!$B$7</x:f>
        <x:v>0</x:v>
      </x:c>
      <x:c r="AC29" s="21" t="n">
        <x:f>MAX(0,MIN('CPM'!M29,125)-MAX('CPM'!L29,120))*'Calendar'!$B$7</x:f>
        <x:v>0</x:v>
      </x:c>
      <x:c r="AD29" s="21" t="n">
        <x:f>MAX(0,MIN('CPM'!M29,130)-MAX('CPM'!L29,125))*'Calendar'!$B$7</x:f>
        <x:v>5.666666666666714</x:v>
      </x:c>
      <x:c r="AE29" s="21" t="n">
        <x:f>MAX(0,MIN('CPM'!M29,135)-MAX('CPM'!L29,130))*'Calendar'!$B$7</x:f>
        <x:v>0.9999999999999432</x:v>
      </x:c>
      <x:c r="AF29" s="21" t="n">
        <x:f>MAX(0,MIN('CPM'!M29,140)-MAX('CPM'!L29,135))*'Calendar'!$B$7</x:f>
        <x:v>0</x:v>
      </x:c>
      <x:c r="AG29" s="21" t="n">
        <x:f>MAX(0,MIN('CPM'!M29,145)-MAX('CPM'!L29,140))*'Calendar'!$B$7</x:f>
        <x:v>0</x:v>
      </x:c>
      <x:c r="AH29" s="21" t="n">
        <x:f>MAX(0,MIN('CPM'!M29,150)-MAX('CPM'!L29,145))*'Calendar'!$B$7</x:f>
        <x:v>0</x:v>
      </x:c>
      <x:c r="AI29" s="21" t="n">
        <x:f>MAX(0,MIN('CPM'!M29,155)-MAX('CPM'!L29,150))*'Calendar'!$B$7</x:f>
        <x:v>0</x:v>
      </x:c>
    </x:row>
    <x:row r="30" ht="35" customHeight="1">
      <x:c r="A30" s="6" t="str">
        <x:v>ACT-4.3.4-01</x:v>
      </x:c>
      <x:c r="B30" s="6" t="str">
        <x:v>Việt Quang</x:v>
      </x:c>
      <x:c r="C30" s="7" t="n">
        <x:f>WORKDAY('Calendar'!$B$4-1,INT('CPM'!L30)+1)</x:f>
        <x:v>46471</x:v>
      </x:c>
      <x:c r="D30" s="7" t="n">
        <x:f>WORKDAY('Calendar'!$B$4-1,MAX(1,ROUNDUP('CPM'!M30,0)))</x:f>
        <x:v>46475</x:v>
      </x:c>
      <x:c r="E30" s="21" t="n">
        <x:f>MAX(0,MIN('CPM'!M30,5)-MAX('CPM'!L30,0))*'Calendar'!$B$7</x:f>
        <x:v>0</x:v>
      </x:c>
      <x:c r="F30" s="21" t="n">
        <x:f>MAX(0,MIN('CPM'!M30,10)-MAX('CPM'!L30,5))*'Calendar'!$B$7</x:f>
        <x:v>0</x:v>
      </x:c>
      <x:c r="G30" s="21" t="n">
        <x:f>MAX(0,MIN('CPM'!M30,15)-MAX('CPM'!L30,10))*'Calendar'!$B$7</x:f>
        <x:v>0</x:v>
      </x:c>
      <x:c r="H30" s="21" t="n">
        <x:f>MAX(0,MIN('CPM'!M30,20)-MAX('CPM'!L30,15))*'Calendar'!$B$7</x:f>
        <x:v>0</x:v>
      </x:c>
      <x:c r="I30" s="21" t="n">
        <x:f>MAX(0,MIN('CPM'!M30,25)-MAX('CPM'!L30,20))*'Calendar'!$B$7</x:f>
        <x:v>0</x:v>
      </x:c>
      <x:c r="J30" s="21" t="n">
        <x:f>MAX(0,MIN('CPM'!M30,30)-MAX('CPM'!L30,25))*'Calendar'!$B$7</x:f>
        <x:v>0</x:v>
      </x:c>
      <x:c r="K30" s="21" t="n">
        <x:f>MAX(0,MIN('CPM'!M30,35)-MAX('CPM'!L30,30))*'Calendar'!$B$7</x:f>
        <x:v>0</x:v>
      </x:c>
      <x:c r="L30" s="21" t="n">
        <x:f>MAX(0,MIN('CPM'!M30,40)-MAX('CPM'!L30,35))*'Calendar'!$B$7</x:f>
        <x:v>0</x:v>
      </x:c>
      <x:c r="M30" s="21" t="n">
        <x:f>MAX(0,MIN('CPM'!M30,45)-MAX('CPM'!L30,40))*'Calendar'!$B$7</x:f>
        <x:v>0</x:v>
      </x:c>
      <x:c r="N30" s="21" t="n">
        <x:f>MAX(0,MIN('CPM'!M30,50)-MAX('CPM'!L30,45))*'Calendar'!$B$7</x:f>
        <x:v>0</x:v>
      </x:c>
      <x:c r="O30" s="21" t="n">
        <x:f>MAX(0,MIN('CPM'!M30,55)-MAX('CPM'!L30,50))*'Calendar'!$B$7</x:f>
        <x:v>0</x:v>
      </x:c>
      <x:c r="P30" s="21" t="n">
        <x:f>MAX(0,MIN('CPM'!M30,60)-MAX('CPM'!L30,55))*'Calendar'!$B$7</x:f>
        <x:v>0</x:v>
      </x:c>
      <x:c r="Q30" s="21" t="n">
        <x:f>MAX(0,MIN('CPM'!M30,65)-MAX('CPM'!L30,60))*'Calendar'!$B$7</x:f>
        <x:v>0</x:v>
      </x:c>
      <x:c r="R30" s="21" t="n">
        <x:f>MAX(0,MIN('CPM'!M30,70)-MAX('CPM'!L30,65))*'Calendar'!$B$7</x:f>
        <x:v>0</x:v>
      </x:c>
      <x:c r="S30" s="21" t="n">
        <x:f>MAX(0,MIN('CPM'!M30,75)-MAX('CPM'!L30,70))*'Calendar'!$B$7</x:f>
        <x:v>0</x:v>
      </x:c>
      <x:c r="T30" s="21" t="n">
        <x:f>MAX(0,MIN('CPM'!M30,80)-MAX('CPM'!L30,75))*'Calendar'!$B$7</x:f>
        <x:v>0</x:v>
      </x:c>
      <x:c r="U30" s="21" t="n">
        <x:f>MAX(0,MIN('CPM'!M30,85)-MAX('CPM'!L30,80))*'Calendar'!$B$7</x:f>
        <x:v>0</x:v>
      </x:c>
      <x:c r="V30" s="21" t="n">
        <x:f>MAX(0,MIN('CPM'!M30,90)-MAX('CPM'!L30,85))*'Calendar'!$B$7</x:f>
        <x:v>0</x:v>
      </x:c>
      <x:c r="W30" s="21" t="n">
        <x:f>MAX(0,MIN('CPM'!M30,95)-MAX('CPM'!L30,90))*'Calendar'!$B$7</x:f>
        <x:v>0</x:v>
      </x:c>
      <x:c r="X30" s="21" t="n">
        <x:f>MAX(0,MIN('CPM'!M30,100)-MAX('CPM'!L30,95))*'Calendar'!$B$7</x:f>
        <x:v>0</x:v>
      </x:c>
      <x:c r="Y30" s="21" t="n">
        <x:f>MAX(0,MIN('CPM'!M30,105)-MAX('CPM'!L30,100))*'Calendar'!$B$7</x:f>
        <x:v>0</x:v>
      </x:c>
      <x:c r="Z30" s="21" t="n">
        <x:f>MAX(0,MIN('CPM'!M30,110)-MAX('CPM'!L30,105))*'Calendar'!$B$7</x:f>
        <x:v>0</x:v>
      </x:c>
      <x:c r="AA30" s="21" t="n">
        <x:f>MAX(0,MIN('CPM'!M30,115)-MAX('CPM'!L30,110))*'Calendar'!$B$7</x:f>
        <x:v>0</x:v>
      </x:c>
      <x:c r="AB30" s="21" t="n">
        <x:f>MAX(0,MIN('CPM'!M30,120)-MAX('CPM'!L30,115))*'Calendar'!$B$7</x:f>
        <x:v>0</x:v>
      </x:c>
      <x:c r="AC30" s="21" t="n">
        <x:f>MAX(0,MIN('CPM'!M30,125)-MAX('CPM'!L30,120))*'Calendar'!$B$7</x:f>
        <x:v>0</x:v>
      </x:c>
      <x:c r="AD30" s="21" t="n">
        <x:f>MAX(0,MIN('CPM'!M30,130)-MAX('CPM'!L30,125))*'Calendar'!$B$7</x:f>
        <x:v>0</x:v>
      </x:c>
      <x:c r="AE30" s="21" t="n">
        <x:f>MAX(0,MIN('CPM'!M30,135)-MAX('CPM'!L30,130))*'Calendar'!$B$7</x:f>
        <x:v>4.333333333333314</x:v>
      </x:c>
      <x:c r="AF30" s="21" t="n">
        <x:f>MAX(0,MIN('CPM'!M30,140)-MAX('CPM'!L30,135))*'Calendar'!$B$7</x:f>
        <x:v>0</x:v>
      </x:c>
      <x:c r="AG30" s="21" t="n">
        <x:f>MAX(0,MIN('CPM'!M30,145)-MAX('CPM'!L30,140))*'Calendar'!$B$7</x:f>
        <x:v>0</x:v>
      </x:c>
      <x:c r="AH30" s="21" t="n">
        <x:f>MAX(0,MIN('CPM'!M30,150)-MAX('CPM'!L30,145))*'Calendar'!$B$7</x:f>
        <x:v>0</x:v>
      </x:c>
      <x:c r="AI30" s="21" t="n">
        <x:f>MAX(0,MIN('CPM'!M30,155)-MAX('CPM'!L30,150))*'Calendar'!$B$7</x:f>
        <x:v>0</x:v>
      </x:c>
    </x:row>
    <x:row r="31" ht="35" customHeight="1">
      <x:c r="A31" s="6" t="str">
        <x:v>ACT-4.3.4-02</x:v>
      </x:c>
      <x:c r="B31" s="6" t="str">
        <x:v>Việt Quang</x:v>
      </x:c>
      <x:c r="C31" s="7" t="n">
        <x:f>WORKDAY('Calendar'!$B$4-1,INT('CPM'!L31)+1)</x:f>
        <x:v>46475</x:v>
      </x:c>
      <x:c r="D31" s="7" t="n">
        <x:f>WORKDAY('Calendar'!$B$4-1,MAX(1,ROUNDUP('CPM'!M31,0)))</x:f>
        <x:v>46478</x:v>
      </x:c>
      <x:c r="E31" s="21" t="n">
        <x:f>MAX(0,MIN('CPM'!M31,5)-MAX('CPM'!L31,0))*'Calendar'!$B$7</x:f>
        <x:v>0</x:v>
      </x:c>
      <x:c r="F31" s="21" t="n">
        <x:f>MAX(0,MIN('CPM'!M31,10)-MAX('CPM'!L31,5))*'Calendar'!$B$7</x:f>
        <x:v>0</x:v>
      </x:c>
      <x:c r="G31" s="21" t="n">
        <x:f>MAX(0,MIN('CPM'!M31,15)-MAX('CPM'!L31,10))*'Calendar'!$B$7</x:f>
        <x:v>0</x:v>
      </x:c>
      <x:c r="H31" s="21" t="n">
        <x:f>MAX(0,MIN('CPM'!M31,20)-MAX('CPM'!L31,15))*'Calendar'!$B$7</x:f>
        <x:v>0</x:v>
      </x:c>
      <x:c r="I31" s="21" t="n">
        <x:f>MAX(0,MIN('CPM'!M31,25)-MAX('CPM'!L31,20))*'Calendar'!$B$7</x:f>
        <x:v>0</x:v>
      </x:c>
      <x:c r="J31" s="21" t="n">
        <x:f>MAX(0,MIN('CPM'!M31,30)-MAX('CPM'!L31,25))*'Calendar'!$B$7</x:f>
        <x:v>0</x:v>
      </x:c>
      <x:c r="K31" s="21" t="n">
        <x:f>MAX(0,MIN('CPM'!M31,35)-MAX('CPM'!L31,30))*'Calendar'!$B$7</x:f>
        <x:v>0</x:v>
      </x:c>
      <x:c r="L31" s="21" t="n">
        <x:f>MAX(0,MIN('CPM'!M31,40)-MAX('CPM'!L31,35))*'Calendar'!$B$7</x:f>
        <x:v>0</x:v>
      </x:c>
      <x:c r="M31" s="21" t="n">
        <x:f>MAX(0,MIN('CPM'!M31,45)-MAX('CPM'!L31,40))*'Calendar'!$B$7</x:f>
        <x:v>0</x:v>
      </x:c>
      <x:c r="N31" s="21" t="n">
        <x:f>MAX(0,MIN('CPM'!M31,50)-MAX('CPM'!L31,45))*'Calendar'!$B$7</x:f>
        <x:v>0</x:v>
      </x:c>
      <x:c r="O31" s="21" t="n">
        <x:f>MAX(0,MIN('CPM'!M31,55)-MAX('CPM'!L31,50))*'Calendar'!$B$7</x:f>
        <x:v>0</x:v>
      </x:c>
      <x:c r="P31" s="21" t="n">
        <x:f>MAX(0,MIN('CPM'!M31,60)-MAX('CPM'!L31,55))*'Calendar'!$B$7</x:f>
        <x:v>0</x:v>
      </x:c>
      <x:c r="Q31" s="21" t="n">
        <x:f>MAX(0,MIN('CPM'!M31,65)-MAX('CPM'!L31,60))*'Calendar'!$B$7</x:f>
        <x:v>0</x:v>
      </x:c>
      <x:c r="R31" s="21" t="n">
        <x:f>MAX(0,MIN('CPM'!M31,70)-MAX('CPM'!L31,65))*'Calendar'!$B$7</x:f>
        <x:v>0</x:v>
      </x:c>
      <x:c r="S31" s="21" t="n">
        <x:f>MAX(0,MIN('CPM'!M31,75)-MAX('CPM'!L31,70))*'Calendar'!$B$7</x:f>
        <x:v>0</x:v>
      </x:c>
      <x:c r="T31" s="21" t="n">
        <x:f>MAX(0,MIN('CPM'!M31,80)-MAX('CPM'!L31,75))*'Calendar'!$B$7</x:f>
        <x:v>0</x:v>
      </x:c>
      <x:c r="U31" s="21" t="n">
        <x:f>MAX(0,MIN('CPM'!M31,85)-MAX('CPM'!L31,80))*'Calendar'!$B$7</x:f>
        <x:v>0</x:v>
      </x:c>
      <x:c r="V31" s="21" t="n">
        <x:f>MAX(0,MIN('CPM'!M31,90)-MAX('CPM'!L31,85))*'Calendar'!$B$7</x:f>
        <x:v>0</x:v>
      </x:c>
      <x:c r="W31" s="21" t="n">
        <x:f>MAX(0,MIN('CPM'!M31,95)-MAX('CPM'!L31,90))*'Calendar'!$B$7</x:f>
        <x:v>0</x:v>
      </x:c>
      <x:c r="X31" s="21" t="n">
        <x:f>MAX(0,MIN('CPM'!M31,100)-MAX('CPM'!L31,95))*'Calendar'!$B$7</x:f>
        <x:v>0</x:v>
      </x:c>
      <x:c r="Y31" s="21" t="n">
        <x:f>MAX(0,MIN('CPM'!M31,105)-MAX('CPM'!L31,100))*'Calendar'!$B$7</x:f>
        <x:v>0</x:v>
      </x:c>
      <x:c r="Z31" s="21" t="n">
        <x:f>MAX(0,MIN('CPM'!M31,110)-MAX('CPM'!L31,105))*'Calendar'!$B$7</x:f>
        <x:v>0</x:v>
      </x:c>
      <x:c r="AA31" s="21" t="n">
        <x:f>MAX(0,MIN('CPM'!M31,115)-MAX('CPM'!L31,110))*'Calendar'!$B$7</x:f>
        <x:v>0</x:v>
      </x:c>
      <x:c r="AB31" s="21" t="n">
        <x:f>MAX(0,MIN('CPM'!M31,120)-MAX('CPM'!L31,115))*'Calendar'!$B$7</x:f>
        <x:v>0</x:v>
      </x:c>
      <x:c r="AC31" s="21" t="n">
        <x:f>MAX(0,MIN('CPM'!M31,125)-MAX('CPM'!L31,120))*'Calendar'!$B$7</x:f>
        <x:v>0</x:v>
      </x:c>
      <x:c r="AD31" s="21" t="n">
        <x:f>MAX(0,MIN('CPM'!M31,130)-MAX('CPM'!L31,125))*'Calendar'!$B$7</x:f>
        <x:v>0</x:v>
      </x:c>
      <x:c r="AE31" s="21" t="n">
        <x:f>MAX(0,MIN('CPM'!M31,135)-MAX('CPM'!L31,130))*'Calendar'!$B$7</x:f>
        <x:v>4.6666666666667425</x:v>
      </x:c>
      <x:c r="AF31" s="21" t="n">
        <x:f>MAX(0,MIN('CPM'!M31,140)-MAX('CPM'!L31,135))*'Calendar'!$B$7</x:f>
        <x:v>1.9999999999999432</x:v>
      </x:c>
      <x:c r="AG31" s="21" t="n">
        <x:f>MAX(0,MIN('CPM'!M31,145)-MAX('CPM'!L31,140))*'Calendar'!$B$7</x:f>
        <x:v>0</x:v>
      </x:c>
      <x:c r="AH31" s="21" t="n">
        <x:f>MAX(0,MIN('CPM'!M31,150)-MAX('CPM'!L31,145))*'Calendar'!$B$7</x:f>
        <x:v>0</x:v>
      </x:c>
      <x:c r="AI31" s="21" t="n">
        <x:f>MAX(0,MIN('CPM'!M31,155)-MAX('CPM'!L31,150))*'Calendar'!$B$7</x:f>
        <x:v>0</x:v>
      </x:c>
    </x:row>
    <x:row r="32" ht="35" customHeight="1">
      <x:c r="A32" s="6" t="str">
        <x:v>ACT-4.3.4-03</x:v>
      </x:c>
      <x:c r="B32" s="6" t="str">
        <x:v>Việt Quang</x:v>
      </x:c>
      <x:c r="C32" s="7" t="n">
        <x:f>WORKDAY('Calendar'!$B$4-1,INT('CPM'!L32)+1)</x:f>
        <x:v>46478</x:v>
      </x:c>
      <x:c r="D32" s="7" t="n">
        <x:f>WORKDAY('Calendar'!$B$4-1,MAX(1,ROUNDUP('CPM'!M32,0)))</x:f>
        <x:v>46483</x:v>
      </x:c>
      <x:c r="E32" s="21" t="n">
        <x:f>MAX(0,MIN('CPM'!M32,5)-MAX('CPM'!L32,0))*'Calendar'!$B$7</x:f>
        <x:v>0</x:v>
      </x:c>
      <x:c r="F32" s="21" t="n">
        <x:f>MAX(0,MIN('CPM'!M32,10)-MAX('CPM'!L32,5))*'Calendar'!$B$7</x:f>
        <x:v>0</x:v>
      </x:c>
      <x:c r="G32" s="21" t="n">
        <x:f>MAX(0,MIN('CPM'!M32,15)-MAX('CPM'!L32,10))*'Calendar'!$B$7</x:f>
        <x:v>0</x:v>
      </x:c>
      <x:c r="H32" s="21" t="n">
        <x:f>MAX(0,MIN('CPM'!M32,20)-MAX('CPM'!L32,15))*'Calendar'!$B$7</x:f>
        <x:v>0</x:v>
      </x:c>
      <x:c r="I32" s="21" t="n">
        <x:f>MAX(0,MIN('CPM'!M32,25)-MAX('CPM'!L32,20))*'Calendar'!$B$7</x:f>
        <x:v>0</x:v>
      </x:c>
      <x:c r="J32" s="21" t="n">
        <x:f>MAX(0,MIN('CPM'!M32,30)-MAX('CPM'!L32,25))*'Calendar'!$B$7</x:f>
        <x:v>0</x:v>
      </x:c>
      <x:c r="K32" s="21" t="n">
        <x:f>MAX(0,MIN('CPM'!M32,35)-MAX('CPM'!L32,30))*'Calendar'!$B$7</x:f>
        <x:v>0</x:v>
      </x:c>
      <x:c r="L32" s="21" t="n">
        <x:f>MAX(0,MIN('CPM'!M32,40)-MAX('CPM'!L32,35))*'Calendar'!$B$7</x:f>
        <x:v>0</x:v>
      </x:c>
      <x:c r="M32" s="21" t="n">
        <x:f>MAX(0,MIN('CPM'!M32,45)-MAX('CPM'!L32,40))*'Calendar'!$B$7</x:f>
        <x:v>0</x:v>
      </x:c>
      <x:c r="N32" s="21" t="n">
        <x:f>MAX(0,MIN('CPM'!M32,50)-MAX('CPM'!L32,45))*'Calendar'!$B$7</x:f>
        <x:v>0</x:v>
      </x:c>
      <x:c r="O32" s="21" t="n">
        <x:f>MAX(0,MIN('CPM'!M32,55)-MAX('CPM'!L32,50))*'Calendar'!$B$7</x:f>
        <x:v>0</x:v>
      </x:c>
      <x:c r="P32" s="21" t="n">
        <x:f>MAX(0,MIN('CPM'!M32,60)-MAX('CPM'!L32,55))*'Calendar'!$B$7</x:f>
        <x:v>0</x:v>
      </x:c>
      <x:c r="Q32" s="21" t="n">
        <x:f>MAX(0,MIN('CPM'!M32,65)-MAX('CPM'!L32,60))*'Calendar'!$B$7</x:f>
        <x:v>0</x:v>
      </x:c>
      <x:c r="R32" s="21" t="n">
        <x:f>MAX(0,MIN('CPM'!M32,70)-MAX('CPM'!L32,65))*'Calendar'!$B$7</x:f>
        <x:v>0</x:v>
      </x:c>
      <x:c r="S32" s="21" t="n">
        <x:f>MAX(0,MIN('CPM'!M32,75)-MAX('CPM'!L32,70))*'Calendar'!$B$7</x:f>
        <x:v>0</x:v>
      </x:c>
      <x:c r="T32" s="21" t="n">
        <x:f>MAX(0,MIN('CPM'!M32,80)-MAX('CPM'!L32,75))*'Calendar'!$B$7</x:f>
        <x:v>0</x:v>
      </x:c>
      <x:c r="U32" s="21" t="n">
        <x:f>MAX(0,MIN('CPM'!M32,85)-MAX('CPM'!L32,80))*'Calendar'!$B$7</x:f>
        <x:v>0</x:v>
      </x:c>
      <x:c r="V32" s="21" t="n">
        <x:f>MAX(0,MIN('CPM'!M32,90)-MAX('CPM'!L32,85))*'Calendar'!$B$7</x:f>
        <x:v>0</x:v>
      </x:c>
      <x:c r="W32" s="21" t="n">
        <x:f>MAX(0,MIN('CPM'!M32,95)-MAX('CPM'!L32,90))*'Calendar'!$B$7</x:f>
        <x:v>0</x:v>
      </x:c>
      <x:c r="X32" s="21" t="n">
        <x:f>MAX(0,MIN('CPM'!M32,100)-MAX('CPM'!L32,95))*'Calendar'!$B$7</x:f>
        <x:v>0</x:v>
      </x:c>
      <x:c r="Y32" s="21" t="n">
        <x:f>MAX(0,MIN('CPM'!M32,105)-MAX('CPM'!L32,100))*'Calendar'!$B$7</x:f>
        <x:v>0</x:v>
      </x:c>
      <x:c r="Z32" s="21" t="n">
        <x:f>MAX(0,MIN('CPM'!M32,110)-MAX('CPM'!L32,105))*'Calendar'!$B$7</x:f>
        <x:v>0</x:v>
      </x:c>
      <x:c r="AA32" s="21" t="n">
        <x:f>MAX(0,MIN('CPM'!M32,115)-MAX('CPM'!L32,110))*'Calendar'!$B$7</x:f>
        <x:v>0</x:v>
      </x:c>
      <x:c r="AB32" s="21" t="n">
        <x:f>MAX(0,MIN('CPM'!M32,120)-MAX('CPM'!L32,115))*'Calendar'!$B$7</x:f>
        <x:v>0</x:v>
      </x:c>
      <x:c r="AC32" s="21" t="n">
        <x:f>MAX(0,MIN('CPM'!M32,125)-MAX('CPM'!L32,120))*'Calendar'!$B$7</x:f>
        <x:v>0</x:v>
      </x:c>
      <x:c r="AD32" s="21" t="n">
        <x:f>MAX(0,MIN('CPM'!M32,130)-MAX('CPM'!L32,125))*'Calendar'!$B$7</x:f>
        <x:v>0</x:v>
      </x:c>
      <x:c r="AE32" s="21" t="n">
        <x:f>MAX(0,MIN('CPM'!M32,135)-MAX('CPM'!L32,130))*'Calendar'!$B$7</x:f>
        <x:v>0</x:v>
      </x:c>
      <x:c r="AF32" s="21" t="n">
        <x:f>MAX(0,MIN('CPM'!M32,140)-MAX('CPM'!L32,135))*'Calendar'!$B$7</x:f>
        <x:v>5</x:v>
      </x:c>
      <x:c r="AG32" s="21" t="n">
        <x:f>MAX(0,MIN('CPM'!M32,145)-MAX('CPM'!L32,140))*'Calendar'!$B$7</x:f>
        <x:v>0</x:v>
      </x:c>
      <x:c r="AH32" s="21" t="n">
        <x:f>MAX(0,MIN('CPM'!M32,150)-MAX('CPM'!L32,145))*'Calendar'!$B$7</x:f>
        <x:v>0</x:v>
      </x:c>
      <x:c r="AI32" s="21" t="n">
        <x:f>MAX(0,MIN('CPM'!M32,155)-MAX('CPM'!L32,150))*'Calendar'!$B$7</x:f>
        <x:v>0</x:v>
      </x:c>
    </x:row>
    <x:row r="33" ht="35" customHeight="1">
      <x:c r="A33" s="6" t="str">
        <x:v>ACT-4.4.1-01</x:v>
      </x:c>
      <x:c r="B33" s="6" t="str">
        <x:v>Quang Anh</x:v>
      </x:c>
      <x:c r="C33" s="7" t="n">
        <x:f>WORKDAY('Calendar'!$B$4-1,INT('CPM'!L33)+1)</x:f>
        <x:v>46427</x:v>
      </x:c>
      <x:c r="D33" s="7" t="n">
        <x:f>WORKDAY('Calendar'!$B$4-1,MAX(1,ROUNDUP('CPM'!M33,0)))</x:f>
        <x:v>46430</x:v>
      </x:c>
      <x:c r="E33" s="21" t="n">
        <x:f>MAX(0,MIN('CPM'!M33,5)-MAX('CPM'!L33,0))*'Calendar'!$B$7</x:f>
        <x:v>0</x:v>
      </x:c>
      <x:c r="F33" s="21" t="n">
        <x:f>MAX(0,MIN('CPM'!M33,10)-MAX('CPM'!L33,5))*'Calendar'!$B$7</x:f>
        <x:v>0</x:v>
      </x:c>
      <x:c r="G33" s="21" t="n">
        <x:f>MAX(0,MIN('CPM'!M33,15)-MAX('CPM'!L33,10))*'Calendar'!$B$7</x:f>
        <x:v>0</x:v>
      </x:c>
      <x:c r="H33" s="21" t="n">
        <x:f>MAX(0,MIN('CPM'!M33,20)-MAX('CPM'!L33,15))*'Calendar'!$B$7</x:f>
        <x:v>0</x:v>
      </x:c>
      <x:c r="I33" s="21" t="n">
        <x:f>MAX(0,MIN('CPM'!M33,25)-MAX('CPM'!L33,20))*'Calendar'!$B$7</x:f>
        <x:v>0</x:v>
      </x:c>
      <x:c r="J33" s="21" t="n">
        <x:f>MAX(0,MIN('CPM'!M33,30)-MAX('CPM'!L33,25))*'Calendar'!$B$7</x:f>
        <x:v>0</x:v>
      </x:c>
      <x:c r="K33" s="21" t="n">
        <x:f>MAX(0,MIN('CPM'!M33,35)-MAX('CPM'!L33,30))*'Calendar'!$B$7</x:f>
        <x:v>0</x:v>
      </x:c>
      <x:c r="L33" s="21" t="n">
        <x:f>MAX(0,MIN('CPM'!M33,40)-MAX('CPM'!L33,35))*'Calendar'!$B$7</x:f>
        <x:v>0</x:v>
      </x:c>
      <x:c r="M33" s="21" t="n">
        <x:f>MAX(0,MIN('CPM'!M33,45)-MAX('CPM'!L33,40))*'Calendar'!$B$7</x:f>
        <x:v>0</x:v>
      </x:c>
      <x:c r="N33" s="21" t="n">
        <x:f>MAX(0,MIN('CPM'!M33,50)-MAX('CPM'!L33,45))*'Calendar'!$B$7</x:f>
        <x:v>0</x:v>
      </x:c>
      <x:c r="O33" s="21" t="n">
        <x:f>MAX(0,MIN('CPM'!M33,55)-MAX('CPM'!L33,50))*'Calendar'!$B$7</x:f>
        <x:v>0</x:v>
      </x:c>
      <x:c r="P33" s="21" t="n">
        <x:f>MAX(0,MIN('CPM'!M33,60)-MAX('CPM'!L33,55))*'Calendar'!$B$7</x:f>
        <x:v>0</x:v>
      </x:c>
      <x:c r="Q33" s="21" t="n">
        <x:f>MAX(0,MIN('CPM'!M33,65)-MAX('CPM'!L33,60))*'Calendar'!$B$7</x:f>
        <x:v>0</x:v>
      </x:c>
      <x:c r="R33" s="21" t="n">
        <x:f>MAX(0,MIN('CPM'!M33,70)-MAX('CPM'!L33,65))*'Calendar'!$B$7</x:f>
        <x:v>0</x:v>
      </x:c>
      <x:c r="S33" s="21" t="n">
        <x:f>MAX(0,MIN('CPM'!M33,75)-MAX('CPM'!L33,70))*'Calendar'!$B$7</x:f>
        <x:v>0</x:v>
      </x:c>
      <x:c r="T33" s="21" t="n">
        <x:f>MAX(0,MIN('CPM'!M33,80)-MAX('CPM'!L33,75))*'Calendar'!$B$7</x:f>
        <x:v>0</x:v>
      </x:c>
      <x:c r="U33" s="21" t="n">
        <x:f>MAX(0,MIN('CPM'!M33,85)-MAX('CPM'!L33,80))*'Calendar'!$B$7</x:f>
        <x:v>0</x:v>
      </x:c>
      <x:c r="V33" s="21" t="n">
        <x:f>MAX(0,MIN('CPM'!M33,90)-MAX('CPM'!L33,85))*'Calendar'!$B$7</x:f>
        <x:v>0</x:v>
      </x:c>
      <x:c r="W33" s="21" t="n">
        <x:f>MAX(0,MIN('CPM'!M33,95)-MAX('CPM'!L33,90))*'Calendar'!$B$7</x:f>
        <x:v>0</x:v>
      </x:c>
      <x:c r="X33" s="21" t="n">
        <x:f>MAX(0,MIN('CPM'!M33,100)-MAX('CPM'!L33,95))*'Calendar'!$B$7</x:f>
        <x:v>3.6666666666666856</x:v>
      </x:c>
      <x:c r="Y33" s="21" t="n">
        <x:f>MAX(0,MIN('CPM'!M33,105)-MAX('CPM'!L33,100))*'Calendar'!$B$7</x:f>
        <x:v>3.3333333333333144</x:v>
      </x:c>
      <x:c r="Z33" s="21" t="n">
        <x:f>MAX(0,MIN('CPM'!M33,110)-MAX('CPM'!L33,105))*'Calendar'!$B$7</x:f>
        <x:v>0</x:v>
      </x:c>
      <x:c r="AA33" s="21" t="n">
        <x:f>MAX(0,MIN('CPM'!M33,115)-MAX('CPM'!L33,110))*'Calendar'!$B$7</x:f>
        <x:v>0</x:v>
      </x:c>
      <x:c r="AB33" s="21" t="n">
        <x:f>MAX(0,MIN('CPM'!M33,120)-MAX('CPM'!L33,115))*'Calendar'!$B$7</x:f>
        <x:v>0</x:v>
      </x:c>
      <x:c r="AC33" s="21" t="n">
        <x:f>MAX(0,MIN('CPM'!M33,125)-MAX('CPM'!L33,120))*'Calendar'!$B$7</x:f>
        <x:v>0</x:v>
      </x:c>
      <x:c r="AD33" s="21" t="n">
        <x:f>MAX(0,MIN('CPM'!M33,130)-MAX('CPM'!L33,125))*'Calendar'!$B$7</x:f>
        <x:v>0</x:v>
      </x:c>
      <x:c r="AE33" s="21" t="n">
        <x:f>MAX(0,MIN('CPM'!M33,135)-MAX('CPM'!L33,130))*'Calendar'!$B$7</x:f>
        <x:v>0</x:v>
      </x:c>
      <x:c r="AF33" s="21" t="n">
        <x:f>MAX(0,MIN('CPM'!M33,140)-MAX('CPM'!L33,135))*'Calendar'!$B$7</x:f>
        <x:v>0</x:v>
      </x:c>
      <x:c r="AG33" s="21" t="n">
        <x:f>MAX(0,MIN('CPM'!M33,145)-MAX('CPM'!L33,140))*'Calendar'!$B$7</x:f>
        <x:v>0</x:v>
      </x:c>
      <x:c r="AH33" s="21" t="n">
        <x:f>MAX(0,MIN('CPM'!M33,150)-MAX('CPM'!L33,145))*'Calendar'!$B$7</x:f>
        <x:v>0</x:v>
      </x:c>
      <x:c r="AI33" s="21" t="n">
        <x:f>MAX(0,MIN('CPM'!M33,155)-MAX('CPM'!L33,150))*'Calendar'!$B$7</x:f>
        <x:v>0</x:v>
      </x:c>
    </x:row>
    <x:row r="34" ht="35" customHeight="1">
      <x:c r="A34" s="6" t="str">
        <x:v>ACT-4.2.6-01</x:v>
      </x:c>
      <x:c r="B34" s="6" t="str">
        <x:v>Chiến</x:v>
      </x:c>
      <x:c r="C34" s="7" t="n">
        <x:f>WORKDAY('Calendar'!$B$4-1,INT('CPM'!L34)+1)</x:f>
        <x:v>46457</x:v>
      </x:c>
      <x:c r="D34" s="7" t="n">
        <x:f>WORKDAY('Calendar'!$B$4-1,MAX(1,ROUNDUP('CPM'!M34,0)))</x:f>
        <x:v>46472</x:v>
      </x:c>
      <x:c r="E34" s="21" t="n">
        <x:f>MAX(0,MIN('CPM'!M34,5)-MAX('CPM'!L34,0))*'Calendar'!$B$7</x:f>
        <x:v>0</x:v>
      </x:c>
      <x:c r="F34" s="21" t="n">
        <x:f>MAX(0,MIN('CPM'!M34,10)-MAX('CPM'!L34,5))*'Calendar'!$B$7</x:f>
        <x:v>0</x:v>
      </x:c>
      <x:c r="G34" s="21" t="n">
        <x:f>MAX(0,MIN('CPM'!M34,15)-MAX('CPM'!L34,10))*'Calendar'!$B$7</x:f>
        <x:v>0</x:v>
      </x:c>
      <x:c r="H34" s="21" t="n">
        <x:f>MAX(0,MIN('CPM'!M34,20)-MAX('CPM'!L34,15))*'Calendar'!$B$7</x:f>
        <x:v>0</x:v>
      </x:c>
      <x:c r="I34" s="21" t="n">
        <x:f>MAX(0,MIN('CPM'!M34,25)-MAX('CPM'!L34,20))*'Calendar'!$B$7</x:f>
        <x:v>0</x:v>
      </x:c>
      <x:c r="J34" s="21" t="n">
        <x:f>MAX(0,MIN('CPM'!M34,30)-MAX('CPM'!L34,25))*'Calendar'!$B$7</x:f>
        <x:v>0</x:v>
      </x:c>
      <x:c r="K34" s="21" t="n">
        <x:f>MAX(0,MIN('CPM'!M34,35)-MAX('CPM'!L34,30))*'Calendar'!$B$7</x:f>
        <x:v>0</x:v>
      </x:c>
      <x:c r="L34" s="21" t="n">
        <x:f>MAX(0,MIN('CPM'!M34,40)-MAX('CPM'!L34,35))*'Calendar'!$B$7</x:f>
        <x:v>0</x:v>
      </x:c>
      <x:c r="M34" s="21" t="n">
        <x:f>MAX(0,MIN('CPM'!M34,45)-MAX('CPM'!L34,40))*'Calendar'!$B$7</x:f>
        <x:v>0</x:v>
      </x:c>
      <x:c r="N34" s="21" t="n">
        <x:f>MAX(0,MIN('CPM'!M34,50)-MAX('CPM'!L34,45))*'Calendar'!$B$7</x:f>
        <x:v>0</x:v>
      </x:c>
      <x:c r="O34" s="21" t="n">
        <x:f>MAX(0,MIN('CPM'!M34,55)-MAX('CPM'!L34,50))*'Calendar'!$B$7</x:f>
        <x:v>0</x:v>
      </x:c>
      <x:c r="P34" s="21" t="n">
        <x:f>MAX(0,MIN('CPM'!M34,60)-MAX('CPM'!L34,55))*'Calendar'!$B$7</x:f>
        <x:v>0</x:v>
      </x:c>
      <x:c r="Q34" s="21" t="n">
        <x:f>MAX(0,MIN('CPM'!M34,65)-MAX('CPM'!L34,60))*'Calendar'!$B$7</x:f>
        <x:v>0</x:v>
      </x:c>
      <x:c r="R34" s="21" t="n">
        <x:f>MAX(0,MIN('CPM'!M34,70)-MAX('CPM'!L34,65))*'Calendar'!$B$7</x:f>
        <x:v>0</x:v>
      </x:c>
      <x:c r="S34" s="21" t="n">
        <x:f>MAX(0,MIN('CPM'!M34,75)-MAX('CPM'!L34,70))*'Calendar'!$B$7</x:f>
        <x:v>0</x:v>
      </x:c>
      <x:c r="T34" s="21" t="n">
        <x:f>MAX(0,MIN('CPM'!M34,80)-MAX('CPM'!L34,75))*'Calendar'!$B$7</x:f>
        <x:v>0</x:v>
      </x:c>
      <x:c r="U34" s="21" t="n">
        <x:f>MAX(0,MIN('CPM'!M34,85)-MAX('CPM'!L34,80))*'Calendar'!$B$7</x:f>
        <x:v>0</x:v>
      </x:c>
      <x:c r="V34" s="21" t="n">
        <x:f>MAX(0,MIN('CPM'!M34,90)-MAX('CPM'!L34,85))*'Calendar'!$B$7</x:f>
        <x:v>0</x:v>
      </x:c>
      <x:c r="W34" s="21" t="n">
        <x:f>MAX(0,MIN('CPM'!M34,95)-MAX('CPM'!L34,90))*'Calendar'!$B$7</x:f>
        <x:v>0</x:v>
      </x:c>
      <x:c r="X34" s="21" t="n">
        <x:f>MAX(0,MIN('CPM'!M34,100)-MAX('CPM'!L34,95))*'Calendar'!$B$7</x:f>
        <x:v>0</x:v>
      </x:c>
      <x:c r="Y34" s="21" t="n">
        <x:f>MAX(0,MIN('CPM'!M34,105)-MAX('CPM'!L34,100))*'Calendar'!$B$7</x:f>
        <x:v>0</x:v>
      </x:c>
      <x:c r="Z34" s="21" t="n">
        <x:f>MAX(0,MIN('CPM'!M34,110)-MAX('CPM'!L34,105))*'Calendar'!$B$7</x:f>
        <x:v>0</x:v>
      </x:c>
      <x:c r="AA34" s="21" t="n">
        <x:f>MAX(0,MIN('CPM'!M34,115)-MAX('CPM'!L34,110))*'Calendar'!$B$7</x:f>
        <x:v>0</x:v>
      </x:c>
      <x:c r="AB34" s="21" t="n">
        <x:f>MAX(0,MIN('CPM'!M34,120)-MAX('CPM'!L34,115))*'Calendar'!$B$7</x:f>
        <x:v>0</x:v>
      </x:c>
      <x:c r="AC34" s="21" t="n">
        <x:f>MAX(0,MIN('CPM'!M34,125)-MAX('CPM'!L34,120))*'Calendar'!$B$7</x:f>
        <x:v>9.666666666666686</x:v>
      </x:c>
      <x:c r="AD34" s="21" t="n">
        <x:f>MAX(0,MIN('CPM'!M34,130)-MAX('CPM'!L34,125))*'Calendar'!$B$7</x:f>
        <x:v>10</x:v>
      </x:c>
      <x:c r="AE34" s="21" t="n">
        <x:f>MAX(0,MIN('CPM'!M34,135)-MAX('CPM'!L34,130))*'Calendar'!$B$7</x:f>
        <x:v>4</x:v>
      </x:c>
      <x:c r="AF34" s="21" t="n">
        <x:f>MAX(0,MIN('CPM'!M34,140)-MAX('CPM'!L34,135))*'Calendar'!$B$7</x:f>
        <x:v>0</x:v>
      </x:c>
      <x:c r="AG34" s="21" t="n">
        <x:f>MAX(0,MIN('CPM'!M34,145)-MAX('CPM'!L34,140))*'Calendar'!$B$7</x:f>
        <x:v>0</x:v>
      </x:c>
      <x:c r="AH34" s="21" t="n">
        <x:f>MAX(0,MIN('CPM'!M34,150)-MAX('CPM'!L34,145))*'Calendar'!$B$7</x:f>
        <x:v>0</x:v>
      </x:c>
      <x:c r="AI34" s="21" t="n">
        <x:f>MAX(0,MIN('CPM'!M34,155)-MAX('CPM'!L34,150))*'Calendar'!$B$7</x:f>
        <x:v>0</x:v>
      </x:c>
    </x:row>
    <x:row r="35" ht="35" customHeight="1">
      <x:c r="A35" s="6" t="str">
        <x:v>ACT-5.1-01</x:v>
      </x:c>
      <x:c r="B35" s="6" t="str">
        <x:v>Chiến</x:v>
      </x:c>
      <x:c r="C35" s="7" t="n">
        <x:f>WORKDAY('Calendar'!$B$4-1,INT('CPM'!L35)+1)</x:f>
        <x:v>46475</x:v>
      </x:c>
      <x:c r="D35" s="7" t="n">
        <x:f>WORKDAY('Calendar'!$B$4-1,MAX(1,ROUNDUP('CPM'!M35,0)))</x:f>
        <x:v>46485</x:v>
      </x:c>
      <x:c r="E35" s="21" t="n">
        <x:f>MAX(0,MIN('CPM'!M35,5)-MAX('CPM'!L35,0))*'Calendar'!$B$7</x:f>
        <x:v>0</x:v>
      </x:c>
      <x:c r="F35" s="21" t="n">
        <x:f>MAX(0,MIN('CPM'!M35,10)-MAX('CPM'!L35,5))*'Calendar'!$B$7</x:f>
        <x:v>0</x:v>
      </x:c>
      <x:c r="G35" s="21" t="n">
        <x:f>MAX(0,MIN('CPM'!M35,15)-MAX('CPM'!L35,10))*'Calendar'!$B$7</x:f>
        <x:v>0</x:v>
      </x:c>
      <x:c r="H35" s="21" t="n">
        <x:f>MAX(0,MIN('CPM'!M35,20)-MAX('CPM'!L35,15))*'Calendar'!$B$7</x:f>
        <x:v>0</x:v>
      </x:c>
      <x:c r="I35" s="21" t="n">
        <x:f>MAX(0,MIN('CPM'!M35,25)-MAX('CPM'!L35,20))*'Calendar'!$B$7</x:f>
        <x:v>0</x:v>
      </x:c>
      <x:c r="J35" s="21" t="n">
        <x:f>MAX(0,MIN('CPM'!M35,30)-MAX('CPM'!L35,25))*'Calendar'!$B$7</x:f>
        <x:v>0</x:v>
      </x:c>
      <x:c r="K35" s="21" t="n">
        <x:f>MAX(0,MIN('CPM'!M35,35)-MAX('CPM'!L35,30))*'Calendar'!$B$7</x:f>
        <x:v>0</x:v>
      </x:c>
      <x:c r="L35" s="21" t="n">
        <x:f>MAX(0,MIN('CPM'!M35,40)-MAX('CPM'!L35,35))*'Calendar'!$B$7</x:f>
        <x:v>0</x:v>
      </x:c>
      <x:c r="M35" s="21" t="n">
        <x:f>MAX(0,MIN('CPM'!M35,45)-MAX('CPM'!L35,40))*'Calendar'!$B$7</x:f>
        <x:v>0</x:v>
      </x:c>
      <x:c r="N35" s="21" t="n">
        <x:f>MAX(0,MIN('CPM'!M35,50)-MAX('CPM'!L35,45))*'Calendar'!$B$7</x:f>
        <x:v>0</x:v>
      </x:c>
      <x:c r="O35" s="21" t="n">
        <x:f>MAX(0,MIN('CPM'!M35,55)-MAX('CPM'!L35,50))*'Calendar'!$B$7</x:f>
        <x:v>0</x:v>
      </x:c>
      <x:c r="P35" s="21" t="n">
        <x:f>MAX(0,MIN('CPM'!M35,60)-MAX('CPM'!L35,55))*'Calendar'!$B$7</x:f>
        <x:v>0</x:v>
      </x:c>
      <x:c r="Q35" s="21" t="n">
        <x:f>MAX(0,MIN('CPM'!M35,65)-MAX('CPM'!L35,60))*'Calendar'!$B$7</x:f>
        <x:v>0</x:v>
      </x:c>
      <x:c r="R35" s="21" t="n">
        <x:f>MAX(0,MIN('CPM'!M35,70)-MAX('CPM'!L35,65))*'Calendar'!$B$7</x:f>
        <x:v>0</x:v>
      </x:c>
      <x:c r="S35" s="21" t="n">
        <x:f>MAX(0,MIN('CPM'!M35,75)-MAX('CPM'!L35,70))*'Calendar'!$B$7</x:f>
        <x:v>0</x:v>
      </x:c>
      <x:c r="T35" s="21" t="n">
        <x:f>MAX(0,MIN('CPM'!M35,80)-MAX('CPM'!L35,75))*'Calendar'!$B$7</x:f>
        <x:v>0</x:v>
      </x:c>
      <x:c r="U35" s="21" t="n">
        <x:f>MAX(0,MIN('CPM'!M35,85)-MAX('CPM'!L35,80))*'Calendar'!$B$7</x:f>
        <x:v>0</x:v>
      </x:c>
      <x:c r="V35" s="21" t="n">
        <x:f>MAX(0,MIN('CPM'!M35,90)-MAX('CPM'!L35,85))*'Calendar'!$B$7</x:f>
        <x:v>0</x:v>
      </x:c>
      <x:c r="W35" s="21" t="n">
        <x:f>MAX(0,MIN('CPM'!M35,95)-MAX('CPM'!L35,90))*'Calendar'!$B$7</x:f>
        <x:v>0</x:v>
      </x:c>
      <x:c r="X35" s="21" t="n">
        <x:f>MAX(0,MIN('CPM'!M35,100)-MAX('CPM'!L35,95))*'Calendar'!$B$7</x:f>
        <x:v>0</x:v>
      </x:c>
      <x:c r="Y35" s="21" t="n">
        <x:f>MAX(0,MIN('CPM'!M35,105)-MAX('CPM'!L35,100))*'Calendar'!$B$7</x:f>
        <x:v>0</x:v>
      </x:c>
      <x:c r="Z35" s="21" t="n">
        <x:f>MAX(0,MIN('CPM'!M35,110)-MAX('CPM'!L35,105))*'Calendar'!$B$7</x:f>
        <x:v>0</x:v>
      </x:c>
      <x:c r="AA35" s="21" t="n">
        <x:f>MAX(0,MIN('CPM'!M35,115)-MAX('CPM'!L35,110))*'Calendar'!$B$7</x:f>
        <x:v>0</x:v>
      </x:c>
      <x:c r="AB35" s="21" t="n">
        <x:f>MAX(0,MIN('CPM'!M35,120)-MAX('CPM'!L35,115))*'Calendar'!$B$7</x:f>
        <x:v>0</x:v>
      </x:c>
      <x:c r="AC35" s="21" t="n">
        <x:f>MAX(0,MIN('CPM'!M35,125)-MAX('CPM'!L35,120))*'Calendar'!$B$7</x:f>
        <x:v>0</x:v>
      </x:c>
      <x:c r="AD35" s="21" t="n">
        <x:f>MAX(0,MIN('CPM'!M35,130)-MAX('CPM'!L35,125))*'Calendar'!$B$7</x:f>
        <x:v>0</x:v>
      </x:c>
      <x:c r="AE35" s="21" t="n">
        <x:f>MAX(0,MIN('CPM'!M35,135)-MAX('CPM'!L35,130))*'Calendar'!$B$7</x:f>
        <x:v>6</x:v>
      </x:c>
      <x:c r="AF35" s="21" t="n">
        <x:f>MAX(0,MIN('CPM'!M35,140)-MAX('CPM'!L35,135))*'Calendar'!$B$7</x:f>
        <x:v>10</x:v>
      </x:c>
      <x:c r="AG35" s="21" t="n">
        <x:f>MAX(0,MIN('CPM'!M35,145)-MAX('CPM'!L35,140))*'Calendar'!$B$7</x:f>
        <x:v>0.3333333333333144</x:v>
      </x:c>
      <x:c r="AH35" s="21" t="n">
        <x:f>MAX(0,MIN('CPM'!M35,150)-MAX('CPM'!L35,145))*'Calendar'!$B$7</x:f>
        <x:v>0</x:v>
      </x:c>
      <x:c r="AI35" s="21" t="n">
        <x:f>MAX(0,MIN('CPM'!M35,155)-MAX('CPM'!L35,150))*'Calendar'!$B$7</x:f>
        <x:v>0</x:v>
      </x:c>
    </x:row>
    <x:row r="36" ht="35" customHeight="1">
      <x:c r="A36" s="6" t="str">
        <x:v>ACT-4.4.1-02</x:v>
      </x:c>
      <x:c r="B36" s="6" t="str">
        <x:v>Quang Anh</x:v>
      </x:c>
      <x:c r="C36" s="7" t="n">
        <x:f>WORKDAY('Calendar'!$B$4-1,INT('CPM'!L36)+1)</x:f>
        <x:v>46430</x:v>
      </x:c>
      <x:c r="D36" s="7" t="n">
        <x:f>WORKDAY('Calendar'!$B$4-1,MAX(1,ROUNDUP('CPM'!M36,0)))</x:f>
        <x:v>46437</x:v>
      </x:c>
      <x:c r="E36" s="21" t="n">
        <x:f>MAX(0,MIN('CPM'!M36,5)-MAX('CPM'!L36,0))*'Calendar'!$B$7</x:f>
        <x:v>0</x:v>
      </x:c>
      <x:c r="F36" s="21" t="n">
        <x:f>MAX(0,MIN('CPM'!M36,10)-MAX('CPM'!L36,5))*'Calendar'!$B$7</x:f>
        <x:v>0</x:v>
      </x:c>
      <x:c r="G36" s="21" t="n">
        <x:f>MAX(0,MIN('CPM'!M36,15)-MAX('CPM'!L36,10))*'Calendar'!$B$7</x:f>
        <x:v>0</x:v>
      </x:c>
      <x:c r="H36" s="21" t="n">
        <x:f>MAX(0,MIN('CPM'!M36,20)-MAX('CPM'!L36,15))*'Calendar'!$B$7</x:f>
        <x:v>0</x:v>
      </x:c>
      <x:c r="I36" s="21" t="n">
        <x:f>MAX(0,MIN('CPM'!M36,25)-MAX('CPM'!L36,20))*'Calendar'!$B$7</x:f>
        <x:v>0</x:v>
      </x:c>
      <x:c r="J36" s="21" t="n">
        <x:f>MAX(0,MIN('CPM'!M36,30)-MAX('CPM'!L36,25))*'Calendar'!$B$7</x:f>
        <x:v>0</x:v>
      </x:c>
      <x:c r="K36" s="21" t="n">
        <x:f>MAX(0,MIN('CPM'!M36,35)-MAX('CPM'!L36,30))*'Calendar'!$B$7</x:f>
        <x:v>0</x:v>
      </x:c>
      <x:c r="L36" s="21" t="n">
        <x:f>MAX(0,MIN('CPM'!M36,40)-MAX('CPM'!L36,35))*'Calendar'!$B$7</x:f>
        <x:v>0</x:v>
      </x:c>
      <x:c r="M36" s="21" t="n">
        <x:f>MAX(0,MIN('CPM'!M36,45)-MAX('CPM'!L36,40))*'Calendar'!$B$7</x:f>
        <x:v>0</x:v>
      </x:c>
      <x:c r="N36" s="21" t="n">
        <x:f>MAX(0,MIN('CPM'!M36,50)-MAX('CPM'!L36,45))*'Calendar'!$B$7</x:f>
        <x:v>0</x:v>
      </x:c>
      <x:c r="O36" s="21" t="n">
        <x:f>MAX(0,MIN('CPM'!M36,55)-MAX('CPM'!L36,50))*'Calendar'!$B$7</x:f>
        <x:v>0</x:v>
      </x:c>
      <x:c r="P36" s="21" t="n">
        <x:f>MAX(0,MIN('CPM'!M36,60)-MAX('CPM'!L36,55))*'Calendar'!$B$7</x:f>
        <x:v>0</x:v>
      </x:c>
      <x:c r="Q36" s="21" t="n">
        <x:f>MAX(0,MIN('CPM'!M36,65)-MAX('CPM'!L36,60))*'Calendar'!$B$7</x:f>
        <x:v>0</x:v>
      </x:c>
      <x:c r="R36" s="21" t="n">
        <x:f>MAX(0,MIN('CPM'!M36,70)-MAX('CPM'!L36,65))*'Calendar'!$B$7</x:f>
        <x:v>0</x:v>
      </x:c>
      <x:c r="S36" s="21" t="n">
        <x:f>MAX(0,MIN('CPM'!M36,75)-MAX('CPM'!L36,70))*'Calendar'!$B$7</x:f>
        <x:v>0</x:v>
      </x:c>
      <x:c r="T36" s="21" t="n">
        <x:f>MAX(0,MIN('CPM'!M36,80)-MAX('CPM'!L36,75))*'Calendar'!$B$7</x:f>
        <x:v>0</x:v>
      </x:c>
      <x:c r="U36" s="21" t="n">
        <x:f>MAX(0,MIN('CPM'!M36,85)-MAX('CPM'!L36,80))*'Calendar'!$B$7</x:f>
        <x:v>0</x:v>
      </x:c>
      <x:c r="V36" s="21" t="n">
        <x:f>MAX(0,MIN('CPM'!M36,90)-MAX('CPM'!L36,85))*'Calendar'!$B$7</x:f>
        <x:v>0</x:v>
      </x:c>
      <x:c r="W36" s="21" t="n">
        <x:f>MAX(0,MIN('CPM'!M36,95)-MAX('CPM'!L36,90))*'Calendar'!$B$7</x:f>
        <x:v>0</x:v>
      </x:c>
      <x:c r="X36" s="21" t="n">
        <x:f>MAX(0,MIN('CPM'!M36,100)-MAX('CPM'!L36,95))*'Calendar'!$B$7</x:f>
        <x:v>0</x:v>
      </x:c>
      <x:c r="Y36" s="21" t="n">
        <x:f>MAX(0,MIN('CPM'!M36,105)-MAX('CPM'!L36,100))*'Calendar'!$B$7</x:f>
        <x:v>6.666666666666686</x:v>
      </x:c>
      <x:c r="Z36" s="21" t="n">
        <x:f>MAX(0,MIN('CPM'!M36,110)-MAX('CPM'!L36,105))*'Calendar'!$B$7</x:f>
        <x:v>2.3333333333333144</x:v>
      </x:c>
      <x:c r="AA36" s="21" t="n">
        <x:f>MAX(0,MIN('CPM'!M36,115)-MAX('CPM'!L36,110))*'Calendar'!$B$7</x:f>
        <x:v>0</x:v>
      </x:c>
      <x:c r="AB36" s="21" t="n">
        <x:f>MAX(0,MIN('CPM'!M36,120)-MAX('CPM'!L36,115))*'Calendar'!$B$7</x:f>
        <x:v>0</x:v>
      </x:c>
      <x:c r="AC36" s="21" t="n">
        <x:f>MAX(0,MIN('CPM'!M36,125)-MAX('CPM'!L36,120))*'Calendar'!$B$7</x:f>
        <x:v>0</x:v>
      </x:c>
      <x:c r="AD36" s="21" t="n">
        <x:f>MAX(0,MIN('CPM'!M36,130)-MAX('CPM'!L36,125))*'Calendar'!$B$7</x:f>
        <x:v>0</x:v>
      </x:c>
      <x:c r="AE36" s="21" t="n">
        <x:f>MAX(0,MIN('CPM'!M36,135)-MAX('CPM'!L36,130))*'Calendar'!$B$7</x:f>
        <x:v>0</x:v>
      </x:c>
      <x:c r="AF36" s="21" t="n">
        <x:f>MAX(0,MIN('CPM'!M36,140)-MAX('CPM'!L36,135))*'Calendar'!$B$7</x:f>
        <x:v>0</x:v>
      </x:c>
      <x:c r="AG36" s="21" t="n">
        <x:f>MAX(0,MIN('CPM'!M36,145)-MAX('CPM'!L36,140))*'Calendar'!$B$7</x:f>
        <x:v>0</x:v>
      </x:c>
      <x:c r="AH36" s="21" t="n">
        <x:f>MAX(0,MIN('CPM'!M36,150)-MAX('CPM'!L36,145))*'Calendar'!$B$7</x:f>
        <x:v>0</x:v>
      </x:c>
      <x:c r="AI36" s="21" t="n">
        <x:f>MAX(0,MIN('CPM'!M36,155)-MAX('CPM'!L36,150))*'Calendar'!$B$7</x:f>
        <x:v>0</x:v>
      </x:c>
    </x:row>
    <x:row r="37" ht="35" customHeight="1">
      <x:c r="A37" s="6" t="str">
        <x:v>ACT-4.4.1-03</x:v>
      </x:c>
      <x:c r="B37" s="6" t="str">
        <x:v>Quang Anh</x:v>
      </x:c>
      <x:c r="C37" s="7" t="n">
        <x:f>WORKDAY('Calendar'!$B$4-1,INT('CPM'!L37)+1)</x:f>
        <x:v>46437</x:v>
      </x:c>
      <x:c r="D37" s="7" t="n">
        <x:f>WORKDAY('Calendar'!$B$4-1,MAX(1,ROUNDUP('CPM'!M37,0)))</x:f>
        <x:v>46442</x:v>
      </x:c>
      <x:c r="E37" s="21" t="n">
        <x:f>MAX(0,MIN('CPM'!M37,5)-MAX('CPM'!L37,0))*'Calendar'!$B$7</x:f>
        <x:v>0</x:v>
      </x:c>
      <x:c r="F37" s="21" t="n">
        <x:f>MAX(0,MIN('CPM'!M37,10)-MAX('CPM'!L37,5))*'Calendar'!$B$7</x:f>
        <x:v>0</x:v>
      </x:c>
      <x:c r="G37" s="21" t="n">
        <x:f>MAX(0,MIN('CPM'!M37,15)-MAX('CPM'!L37,10))*'Calendar'!$B$7</x:f>
        <x:v>0</x:v>
      </x:c>
      <x:c r="H37" s="21" t="n">
        <x:f>MAX(0,MIN('CPM'!M37,20)-MAX('CPM'!L37,15))*'Calendar'!$B$7</x:f>
        <x:v>0</x:v>
      </x:c>
      <x:c r="I37" s="21" t="n">
        <x:f>MAX(0,MIN('CPM'!M37,25)-MAX('CPM'!L37,20))*'Calendar'!$B$7</x:f>
        <x:v>0</x:v>
      </x:c>
      <x:c r="J37" s="21" t="n">
        <x:f>MAX(0,MIN('CPM'!M37,30)-MAX('CPM'!L37,25))*'Calendar'!$B$7</x:f>
        <x:v>0</x:v>
      </x:c>
      <x:c r="K37" s="21" t="n">
        <x:f>MAX(0,MIN('CPM'!M37,35)-MAX('CPM'!L37,30))*'Calendar'!$B$7</x:f>
        <x:v>0</x:v>
      </x:c>
      <x:c r="L37" s="21" t="n">
        <x:f>MAX(0,MIN('CPM'!M37,40)-MAX('CPM'!L37,35))*'Calendar'!$B$7</x:f>
        <x:v>0</x:v>
      </x:c>
      <x:c r="M37" s="21" t="n">
        <x:f>MAX(0,MIN('CPM'!M37,45)-MAX('CPM'!L37,40))*'Calendar'!$B$7</x:f>
        <x:v>0</x:v>
      </x:c>
      <x:c r="N37" s="21" t="n">
        <x:f>MAX(0,MIN('CPM'!M37,50)-MAX('CPM'!L37,45))*'Calendar'!$B$7</x:f>
        <x:v>0</x:v>
      </x:c>
      <x:c r="O37" s="21" t="n">
        <x:f>MAX(0,MIN('CPM'!M37,55)-MAX('CPM'!L37,50))*'Calendar'!$B$7</x:f>
        <x:v>0</x:v>
      </x:c>
      <x:c r="P37" s="21" t="n">
        <x:f>MAX(0,MIN('CPM'!M37,60)-MAX('CPM'!L37,55))*'Calendar'!$B$7</x:f>
        <x:v>0</x:v>
      </x:c>
      <x:c r="Q37" s="21" t="n">
        <x:f>MAX(0,MIN('CPM'!M37,65)-MAX('CPM'!L37,60))*'Calendar'!$B$7</x:f>
        <x:v>0</x:v>
      </x:c>
      <x:c r="R37" s="21" t="n">
        <x:f>MAX(0,MIN('CPM'!M37,70)-MAX('CPM'!L37,65))*'Calendar'!$B$7</x:f>
        <x:v>0</x:v>
      </x:c>
      <x:c r="S37" s="21" t="n">
        <x:f>MAX(0,MIN('CPM'!M37,75)-MAX('CPM'!L37,70))*'Calendar'!$B$7</x:f>
        <x:v>0</x:v>
      </x:c>
      <x:c r="T37" s="21" t="n">
        <x:f>MAX(0,MIN('CPM'!M37,80)-MAX('CPM'!L37,75))*'Calendar'!$B$7</x:f>
        <x:v>0</x:v>
      </x:c>
      <x:c r="U37" s="21" t="n">
        <x:f>MAX(0,MIN('CPM'!M37,85)-MAX('CPM'!L37,80))*'Calendar'!$B$7</x:f>
        <x:v>0</x:v>
      </x:c>
      <x:c r="V37" s="21" t="n">
        <x:f>MAX(0,MIN('CPM'!M37,90)-MAX('CPM'!L37,85))*'Calendar'!$B$7</x:f>
        <x:v>0</x:v>
      </x:c>
      <x:c r="W37" s="21" t="n">
        <x:f>MAX(0,MIN('CPM'!M37,95)-MAX('CPM'!L37,90))*'Calendar'!$B$7</x:f>
        <x:v>0</x:v>
      </x:c>
      <x:c r="X37" s="21" t="n">
        <x:f>MAX(0,MIN('CPM'!M37,100)-MAX('CPM'!L37,95))*'Calendar'!$B$7</x:f>
        <x:v>0</x:v>
      </x:c>
      <x:c r="Y37" s="21" t="n">
        <x:f>MAX(0,MIN('CPM'!M37,105)-MAX('CPM'!L37,100))*'Calendar'!$B$7</x:f>
        <x:v>0</x:v>
      </x:c>
      <x:c r="Z37" s="21" t="n">
        <x:f>MAX(0,MIN('CPM'!M37,110)-MAX('CPM'!L37,105))*'Calendar'!$B$7</x:f>
        <x:v>6</x:v>
      </x:c>
      <x:c r="AA37" s="21" t="n">
        <x:f>MAX(0,MIN('CPM'!M37,115)-MAX('CPM'!L37,110))*'Calendar'!$B$7</x:f>
        <x:v>0</x:v>
      </x:c>
      <x:c r="AB37" s="21" t="n">
        <x:f>MAX(0,MIN('CPM'!M37,120)-MAX('CPM'!L37,115))*'Calendar'!$B$7</x:f>
        <x:v>0</x:v>
      </x:c>
      <x:c r="AC37" s="21" t="n">
        <x:f>MAX(0,MIN('CPM'!M37,125)-MAX('CPM'!L37,120))*'Calendar'!$B$7</x:f>
        <x:v>0</x:v>
      </x:c>
      <x:c r="AD37" s="21" t="n">
        <x:f>MAX(0,MIN('CPM'!M37,130)-MAX('CPM'!L37,125))*'Calendar'!$B$7</x:f>
        <x:v>0</x:v>
      </x:c>
      <x:c r="AE37" s="21" t="n">
        <x:f>MAX(0,MIN('CPM'!M37,135)-MAX('CPM'!L37,130))*'Calendar'!$B$7</x:f>
        <x:v>0</x:v>
      </x:c>
      <x:c r="AF37" s="21" t="n">
        <x:f>MAX(0,MIN('CPM'!M37,140)-MAX('CPM'!L37,135))*'Calendar'!$B$7</x:f>
        <x:v>0</x:v>
      </x:c>
      <x:c r="AG37" s="21" t="n">
        <x:f>MAX(0,MIN('CPM'!M37,145)-MAX('CPM'!L37,140))*'Calendar'!$B$7</x:f>
        <x:v>0</x:v>
      </x:c>
      <x:c r="AH37" s="21" t="n">
        <x:f>MAX(0,MIN('CPM'!M37,150)-MAX('CPM'!L37,145))*'Calendar'!$B$7</x:f>
        <x:v>0</x:v>
      </x:c>
      <x:c r="AI37" s="21" t="n">
        <x:f>MAX(0,MIN('CPM'!M37,155)-MAX('CPM'!L37,150))*'Calendar'!$B$7</x:f>
        <x:v>0</x:v>
      </x:c>
    </x:row>
    <x:row r="38" ht="35" customHeight="1">
      <x:c r="A38" s="6" t="str">
        <x:v>ACT-4.4.3-01</x:v>
      </x:c>
      <x:c r="B38" s="6" t="str">
        <x:v>Quang Anh</x:v>
      </x:c>
      <x:c r="C38" s="7" t="n">
        <x:f>WORKDAY('Calendar'!$B$4-1,INT('CPM'!L38)+1)</x:f>
        <x:v>46442</x:v>
      </x:c>
      <x:c r="D38" s="7" t="n">
        <x:f>WORKDAY('Calendar'!$B$4-1,MAX(1,ROUNDUP('CPM'!M38,0)))</x:f>
        <x:v>46444</x:v>
      </x:c>
      <x:c r="E38" s="21" t="n">
        <x:f>MAX(0,MIN('CPM'!M38,5)-MAX('CPM'!L38,0))*'Calendar'!$B$7</x:f>
        <x:v>0</x:v>
      </x:c>
      <x:c r="F38" s="21" t="n">
        <x:f>MAX(0,MIN('CPM'!M38,10)-MAX('CPM'!L38,5))*'Calendar'!$B$7</x:f>
        <x:v>0</x:v>
      </x:c>
      <x:c r="G38" s="21" t="n">
        <x:f>MAX(0,MIN('CPM'!M38,15)-MAX('CPM'!L38,10))*'Calendar'!$B$7</x:f>
        <x:v>0</x:v>
      </x:c>
      <x:c r="H38" s="21" t="n">
        <x:f>MAX(0,MIN('CPM'!M38,20)-MAX('CPM'!L38,15))*'Calendar'!$B$7</x:f>
        <x:v>0</x:v>
      </x:c>
      <x:c r="I38" s="21" t="n">
        <x:f>MAX(0,MIN('CPM'!M38,25)-MAX('CPM'!L38,20))*'Calendar'!$B$7</x:f>
        <x:v>0</x:v>
      </x:c>
      <x:c r="J38" s="21" t="n">
        <x:f>MAX(0,MIN('CPM'!M38,30)-MAX('CPM'!L38,25))*'Calendar'!$B$7</x:f>
        <x:v>0</x:v>
      </x:c>
      <x:c r="K38" s="21" t="n">
        <x:f>MAX(0,MIN('CPM'!M38,35)-MAX('CPM'!L38,30))*'Calendar'!$B$7</x:f>
        <x:v>0</x:v>
      </x:c>
      <x:c r="L38" s="21" t="n">
        <x:f>MAX(0,MIN('CPM'!M38,40)-MAX('CPM'!L38,35))*'Calendar'!$B$7</x:f>
        <x:v>0</x:v>
      </x:c>
      <x:c r="M38" s="21" t="n">
        <x:f>MAX(0,MIN('CPM'!M38,45)-MAX('CPM'!L38,40))*'Calendar'!$B$7</x:f>
        <x:v>0</x:v>
      </x:c>
      <x:c r="N38" s="21" t="n">
        <x:f>MAX(0,MIN('CPM'!M38,50)-MAX('CPM'!L38,45))*'Calendar'!$B$7</x:f>
        <x:v>0</x:v>
      </x:c>
      <x:c r="O38" s="21" t="n">
        <x:f>MAX(0,MIN('CPM'!M38,55)-MAX('CPM'!L38,50))*'Calendar'!$B$7</x:f>
        <x:v>0</x:v>
      </x:c>
      <x:c r="P38" s="21" t="n">
        <x:f>MAX(0,MIN('CPM'!M38,60)-MAX('CPM'!L38,55))*'Calendar'!$B$7</x:f>
        <x:v>0</x:v>
      </x:c>
      <x:c r="Q38" s="21" t="n">
        <x:f>MAX(0,MIN('CPM'!M38,65)-MAX('CPM'!L38,60))*'Calendar'!$B$7</x:f>
        <x:v>0</x:v>
      </x:c>
      <x:c r="R38" s="21" t="n">
        <x:f>MAX(0,MIN('CPM'!M38,70)-MAX('CPM'!L38,65))*'Calendar'!$B$7</x:f>
        <x:v>0</x:v>
      </x:c>
      <x:c r="S38" s="21" t="n">
        <x:f>MAX(0,MIN('CPM'!M38,75)-MAX('CPM'!L38,70))*'Calendar'!$B$7</x:f>
        <x:v>0</x:v>
      </x:c>
      <x:c r="T38" s="21" t="n">
        <x:f>MAX(0,MIN('CPM'!M38,80)-MAX('CPM'!L38,75))*'Calendar'!$B$7</x:f>
        <x:v>0</x:v>
      </x:c>
      <x:c r="U38" s="21" t="n">
        <x:f>MAX(0,MIN('CPM'!M38,85)-MAX('CPM'!L38,80))*'Calendar'!$B$7</x:f>
        <x:v>0</x:v>
      </x:c>
      <x:c r="V38" s="21" t="n">
        <x:f>MAX(0,MIN('CPM'!M38,90)-MAX('CPM'!L38,85))*'Calendar'!$B$7</x:f>
        <x:v>0</x:v>
      </x:c>
      <x:c r="W38" s="21" t="n">
        <x:f>MAX(0,MIN('CPM'!M38,95)-MAX('CPM'!L38,90))*'Calendar'!$B$7</x:f>
        <x:v>0</x:v>
      </x:c>
      <x:c r="X38" s="21" t="n">
        <x:f>MAX(0,MIN('CPM'!M38,100)-MAX('CPM'!L38,95))*'Calendar'!$B$7</x:f>
        <x:v>0</x:v>
      </x:c>
      <x:c r="Y38" s="21" t="n">
        <x:f>MAX(0,MIN('CPM'!M38,105)-MAX('CPM'!L38,100))*'Calendar'!$B$7</x:f>
        <x:v>0</x:v>
      </x:c>
      <x:c r="Z38" s="21" t="n">
        <x:f>MAX(0,MIN('CPM'!M38,110)-MAX('CPM'!L38,105))*'Calendar'!$B$7</x:f>
        <x:v>1.6666666666666856</x:v>
      </x:c>
      <x:c r="AA38" s="21" t="n">
        <x:f>MAX(0,MIN('CPM'!M38,115)-MAX('CPM'!L38,110))*'Calendar'!$B$7</x:f>
        <x:v>3.3333333333333144</x:v>
      </x:c>
      <x:c r="AB38" s="21" t="n">
        <x:f>MAX(0,MIN('CPM'!M38,120)-MAX('CPM'!L38,115))*'Calendar'!$B$7</x:f>
        <x:v>0</x:v>
      </x:c>
      <x:c r="AC38" s="21" t="n">
        <x:f>MAX(0,MIN('CPM'!M38,125)-MAX('CPM'!L38,120))*'Calendar'!$B$7</x:f>
        <x:v>0</x:v>
      </x:c>
      <x:c r="AD38" s="21" t="n">
        <x:f>MAX(0,MIN('CPM'!M38,130)-MAX('CPM'!L38,125))*'Calendar'!$B$7</x:f>
        <x:v>0</x:v>
      </x:c>
      <x:c r="AE38" s="21" t="n">
        <x:f>MAX(0,MIN('CPM'!M38,135)-MAX('CPM'!L38,130))*'Calendar'!$B$7</x:f>
        <x:v>0</x:v>
      </x:c>
      <x:c r="AF38" s="21" t="n">
        <x:f>MAX(0,MIN('CPM'!M38,140)-MAX('CPM'!L38,135))*'Calendar'!$B$7</x:f>
        <x:v>0</x:v>
      </x:c>
      <x:c r="AG38" s="21" t="n">
        <x:f>MAX(0,MIN('CPM'!M38,145)-MAX('CPM'!L38,140))*'Calendar'!$B$7</x:f>
        <x:v>0</x:v>
      </x:c>
      <x:c r="AH38" s="21" t="n">
        <x:f>MAX(0,MIN('CPM'!M38,150)-MAX('CPM'!L38,145))*'Calendar'!$B$7</x:f>
        <x:v>0</x:v>
      </x:c>
      <x:c r="AI38" s="21" t="n">
        <x:f>MAX(0,MIN('CPM'!M38,155)-MAX('CPM'!L38,150))*'Calendar'!$B$7</x:f>
        <x:v>0</x:v>
      </x:c>
    </x:row>
    <x:row r="39" ht="35" customHeight="1">
      <x:c r="A39" s="6" t="str">
        <x:v>ACT-4.4.3-02</x:v>
      </x:c>
      <x:c r="B39" s="6" t="str">
        <x:v>Quang Anh</x:v>
      </x:c>
      <x:c r="C39" s="7" t="n">
        <x:f>WORKDAY('Calendar'!$B$4-1,INT('CPM'!L39)+1)</x:f>
        <x:v>46444</x:v>
      </x:c>
      <x:c r="D39" s="7" t="n">
        <x:f>WORKDAY('Calendar'!$B$4-1,MAX(1,ROUNDUP('CPM'!M39,0)))</x:f>
        <x:v>46449</x:v>
      </x:c>
      <x:c r="E39" s="21" t="n">
        <x:f>MAX(0,MIN('CPM'!M39,5)-MAX('CPM'!L39,0))*'Calendar'!$B$7</x:f>
        <x:v>0</x:v>
      </x:c>
      <x:c r="F39" s="21" t="n">
        <x:f>MAX(0,MIN('CPM'!M39,10)-MAX('CPM'!L39,5))*'Calendar'!$B$7</x:f>
        <x:v>0</x:v>
      </x:c>
      <x:c r="G39" s="21" t="n">
        <x:f>MAX(0,MIN('CPM'!M39,15)-MAX('CPM'!L39,10))*'Calendar'!$B$7</x:f>
        <x:v>0</x:v>
      </x:c>
      <x:c r="H39" s="21" t="n">
        <x:f>MAX(0,MIN('CPM'!M39,20)-MAX('CPM'!L39,15))*'Calendar'!$B$7</x:f>
        <x:v>0</x:v>
      </x:c>
      <x:c r="I39" s="21" t="n">
        <x:f>MAX(0,MIN('CPM'!M39,25)-MAX('CPM'!L39,20))*'Calendar'!$B$7</x:f>
        <x:v>0</x:v>
      </x:c>
      <x:c r="J39" s="21" t="n">
        <x:f>MAX(0,MIN('CPM'!M39,30)-MAX('CPM'!L39,25))*'Calendar'!$B$7</x:f>
        <x:v>0</x:v>
      </x:c>
      <x:c r="K39" s="21" t="n">
        <x:f>MAX(0,MIN('CPM'!M39,35)-MAX('CPM'!L39,30))*'Calendar'!$B$7</x:f>
        <x:v>0</x:v>
      </x:c>
      <x:c r="L39" s="21" t="n">
        <x:f>MAX(0,MIN('CPM'!M39,40)-MAX('CPM'!L39,35))*'Calendar'!$B$7</x:f>
        <x:v>0</x:v>
      </x:c>
      <x:c r="M39" s="21" t="n">
        <x:f>MAX(0,MIN('CPM'!M39,45)-MAX('CPM'!L39,40))*'Calendar'!$B$7</x:f>
        <x:v>0</x:v>
      </x:c>
      <x:c r="N39" s="21" t="n">
        <x:f>MAX(0,MIN('CPM'!M39,50)-MAX('CPM'!L39,45))*'Calendar'!$B$7</x:f>
        <x:v>0</x:v>
      </x:c>
      <x:c r="O39" s="21" t="n">
        <x:f>MAX(0,MIN('CPM'!M39,55)-MAX('CPM'!L39,50))*'Calendar'!$B$7</x:f>
        <x:v>0</x:v>
      </x:c>
      <x:c r="P39" s="21" t="n">
        <x:f>MAX(0,MIN('CPM'!M39,60)-MAX('CPM'!L39,55))*'Calendar'!$B$7</x:f>
        <x:v>0</x:v>
      </x:c>
      <x:c r="Q39" s="21" t="n">
        <x:f>MAX(0,MIN('CPM'!M39,65)-MAX('CPM'!L39,60))*'Calendar'!$B$7</x:f>
        <x:v>0</x:v>
      </x:c>
      <x:c r="R39" s="21" t="n">
        <x:f>MAX(0,MIN('CPM'!M39,70)-MAX('CPM'!L39,65))*'Calendar'!$B$7</x:f>
        <x:v>0</x:v>
      </x:c>
      <x:c r="S39" s="21" t="n">
        <x:f>MAX(0,MIN('CPM'!M39,75)-MAX('CPM'!L39,70))*'Calendar'!$B$7</x:f>
        <x:v>0</x:v>
      </x:c>
      <x:c r="T39" s="21" t="n">
        <x:f>MAX(0,MIN('CPM'!M39,80)-MAX('CPM'!L39,75))*'Calendar'!$B$7</x:f>
        <x:v>0</x:v>
      </x:c>
      <x:c r="U39" s="21" t="n">
        <x:f>MAX(0,MIN('CPM'!M39,85)-MAX('CPM'!L39,80))*'Calendar'!$B$7</x:f>
        <x:v>0</x:v>
      </x:c>
      <x:c r="V39" s="21" t="n">
        <x:f>MAX(0,MIN('CPM'!M39,90)-MAX('CPM'!L39,85))*'Calendar'!$B$7</x:f>
        <x:v>0</x:v>
      </x:c>
      <x:c r="W39" s="21" t="n">
        <x:f>MAX(0,MIN('CPM'!M39,95)-MAX('CPM'!L39,90))*'Calendar'!$B$7</x:f>
        <x:v>0</x:v>
      </x:c>
      <x:c r="X39" s="21" t="n">
        <x:f>MAX(0,MIN('CPM'!M39,100)-MAX('CPM'!L39,95))*'Calendar'!$B$7</x:f>
        <x:v>0</x:v>
      </x:c>
      <x:c r="Y39" s="21" t="n">
        <x:f>MAX(0,MIN('CPM'!M39,105)-MAX('CPM'!L39,100))*'Calendar'!$B$7</x:f>
        <x:v>0</x:v>
      </x:c>
      <x:c r="Z39" s="21" t="n">
        <x:f>MAX(0,MIN('CPM'!M39,110)-MAX('CPM'!L39,105))*'Calendar'!$B$7</x:f>
        <x:v>0</x:v>
      </x:c>
      <x:c r="AA39" s="21" t="n">
        <x:f>MAX(0,MIN('CPM'!M39,115)-MAX('CPM'!L39,110))*'Calendar'!$B$7</x:f>
        <x:v>5</x:v>
      </x:c>
      <x:c r="AB39" s="21" t="n">
        <x:f>MAX(0,MIN('CPM'!M39,120)-MAX('CPM'!L39,115))*'Calendar'!$B$7</x:f>
        <x:v>0</x:v>
      </x:c>
      <x:c r="AC39" s="21" t="n">
        <x:f>MAX(0,MIN('CPM'!M39,125)-MAX('CPM'!L39,120))*'Calendar'!$B$7</x:f>
        <x:v>0</x:v>
      </x:c>
      <x:c r="AD39" s="21" t="n">
        <x:f>MAX(0,MIN('CPM'!M39,130)-MAX('CPM'!L39,125))*'Calendar'!$B$7</x:f>
        <x:v>0</x:v>
      </x:c>
      <x:c r="AE39" s="21" t="n">
        <x:f>MAX(0,MIN('CPM'!M39,135)-MAX('CPM'!L39,130))*'Calendar'!$B$7</x:f>
        <x:v>0</x:v>
      </x:c>
      <x:c r="AF39" s="21" t="n">
        <x:f>MAX(0,MIN('CPM'!M39,140)-MAX('CPM'!L39,135))*'Calendar'!$B$7</x:f>
        <x:v>0</x:v>
      </x:c>
      <x:c r="AG39" s="21" t="n">
        <x:f>MAX(0,MIN('CPM'!M39,145)-MAX('CPM'!L39,140))*'Calendar'!$B$7</x:f>
        <x:v>0</x:v>
      </x:c>
      <x:c r="AH39" s="21" t="n">
        <x:f>MAX(0,MIN('CPM'!M39,150)-MAX('CPM'!L39,145))*'Calendar'!$B$7</x:f>
        <x:v>0</x:v>
      </x:c>
      <x:c r="AI39" s="21" t="n">
        <x:f>MAX(0,MIN('CPM'!M39,155)-MAX('CPM'!L39,150))*'Calendar'!$B$7</x:f>
        <x:v>0</x:v>
      </x:c>
    </x:row>
    <x:row r="40" ht="35" customHeight="1">
      <x:c r="A40" s="6" t="str">
        <x:v>ACT-4.4.3-03</x:v>
      </x:c>
      <x:c r="B40" s="6" t="str">
        <x:v>Quang Anh</x:v>
      </x:c>
      <x:c r="C40" s="7" t="n">
        <x:f>WORKDAY('Calendar'!$B$4-1,INT('CPM'!L40)+1)</x:f>
        <x:v>46449</x:v>
      </x:c>
      <x:c r="D40" s="7" t="n">
        <x:f>WORKDAY('Calendar'!$B$4-1,MAX(1,ROUNDUP('CPM'!M40,0)))</x:f>
        <x:v>46451</x:v>
      </x:c>
      <x:c r="E40" s="21" t="n">
        <x:f>MAX(0,MIN('CPM'!M40,5)-MAX('CPM'!L40,0))*'Calendar'!$B$7</x:f>
        <x:v>0</x:v>
      </x:c>
      <x:c r="F40" s="21" t="n">
        <x:f>MAX(0,MIN('CPM'!M40,10)-MAX('CPM'!L40,5))*'Calendar'!$B$7</x:f>
        <x:v>0</x:v>
      </x:c>
      <x:c r="G40" s="21" t="n">
        <x:f>MAX(0,MIN('CPM'!M40,15)-MAX('CPM'!L40,10))*'Calendar'!$B$7</x:f>
        <x:v>0</x:v>
      </x:c>
      <x:c r="H40" s="21" t="n">
        <x:f>MAX(0,MIN('CPM'!M40,20)-MAX('CPM'!L40,15))*'Calendar'!$B$7</x:f>
        <x:v>0</x:v>
      </x:c>
      <x:c r="I40" s="21" t="n">
        <x:f>MAX(0,MIN('CPM'!M40,25)-MAX('CPM'!L40,20))*'Calendar'!$B$7</x:f>
        <x:v>0</x:v>
      </x:c>
      <x:c r="J40" s="21" t="n">
        <x:f>MAX(0,MIN('CPM'!M40,30)-MAX('CPM'!L40,25))*'Calendar'!$B$7</x:f>
        <x:v>0</x:v>
      </x:c>
      <x:c r="K40" s="21" t="n">
        <x:f>MAX(0,MIN('CPM'!M40,35)-MAX('CPM'!L40,30))*'Calendar'!$B$7</x:f>
        <x:v>0</x:v>
      </x:c>
      <x:c r="L40" s="21" t="n">
        <x:f>MAX(0,MIN('CPM'!M40,40)-MAX('CPM'!L40,35))*'Calendar'!$B$7</x:f>
        <x:v>0</x:v>
      </x:c>
      <x:c r="M40" s="21" t="n">
        <x:f>MAX(0,MIN('CPM'!M40,45)-MAX('CPM'!L40,40))*'Calendar'!$B$7</x:f>
        <x:v>0</x:v>
      </x:c>
      <x:c r="N40" s="21" t="n">
        <x:f>MAX(0,MIN('CPM'!M40,50)-MAX('CPM'!L40,45))*'Calendar'!$B$7</x:f>
        <x:v>0</x:v>
      </x:c>
      <x:c r="O40" s="21" t="n">
        <x:f>MAX(0,MIN('CPM'!M40,55)-MAX('CPM'!L40,50))*'Calendar'!$B$7</x:f>
        <x:v>0</x:v>
      </x:c>
      <x:c r="P40" s="21" t="n">
        <x:f>MAX(0,MIN('CPM'!M40,60)-MAX('CPM'!L40,55))*'Calendar'!$B$7</x:f>
        <x:v>0</x:v>
      </x:c>
      <x:c r="Q40" s="21" t="n">
        <x:f>MAX(0,MIN('CPM'!M40,65)-MAX('CPM'!L40,60))*'Calendar'!$B$7</x:f>
        <x:v>0</x:v>
      </x:c>
      <x:c r="R40" s="21" t="n">
        <x:f>MAX(0,MIN('CPM'!M40,70)-MAX('CPM'!L40,65))*'Calendar'!$B$7</x:f>
        <x:v>0</x:v>
      </x:c>
      <x:c r="S40" s="21" t="n">
        <x:f>MAX(0,MIN('CPM'!M40,75)-MAX('CPM'!L40,70))*'Calendar'!$B$7</x:f>
        <x:v>0</x:v>
      </x:c>
      <x:c r="T40" s="21" t="n">
        <x:f>MAX(0,MIN('CPM'!M40,80)-MAX('CPM'!L40,75))*'Calendar'!$B$7</x:f>
        <x:v>0</x:v>
      </x:c>
      <x:c r="U40" s="21" t="n">
        <x:f>MAX(0,MIN('CPM'!M40,85)-MAX('CPM'!L40,80))*'Calendar'!$B$7</x:f>
        <x:v>0</x:v>
      </x:c>
      <x:c r="V40" s="21" t="n">
        <x:f>MAX(0,MIN('CPM'!M40,90)-MAX('CPM'!L40,85))*'Calendar'!$B$7</x:f>
        <x:v>0</x:v>
      </x:c>
      <x:c r="W40" s="21" t="n">
        <x:f>MAX(0,MIN('CPM'!M40,95)-MAX('CPM'!L40,90))*'Calendar'!$B$7</x:f>
        <x:v>0</x:v>
      </x:c>
      <x:c r="X40" s="21" t="n">
        <x:f>MAX(0,MIN('CPM'!M40,100)-MAX('CPM'!L40,95))*'Calendar'!$B$7</x:f>
        <x:v>0</x:v>
      </x:c>
      <x:c r="Y40" s="21" t="n">
        <x:f>MAX(0,MIN('CPM'!M40,105)-MAX('CPM'!L40,100))*'Calendar'!$B$7</x:f>
        <x:v>0</x:v>
      </x:c>
      <x:c r="Z40" s="21" t="n">
        <x:f>MAX(0,MIN('CPM'!M40,110)-MAX('CPM'!L40,105))*'Calendar'!$B$7</x:f>
        <x:v>0</x:v>
      </x:c>
      <x:c r="AA40" s="21" t="n">
        <x:f>MAX(0,MIN('CPM'!M40,115)-MAX('CPM'!L40,110))*'Calendar'!$B$7</x:f>
        <x:v>1.6666666666666856</x:v>
      </x:c>
      <x:c r="AB40" s="21" t="n">
        <x:f>MAX(0,MIN('CPM'!M40,120)-MAX('CPM'!L40,115))*'Calendar'!$B$7</x:f>
        <x:v>2.3333333333333144</x:v>
      </x:c>
      <x:c r="AC40" s="21" t="n">
        <x:f>MAX(0,MIN('CPM'!M40,125)-MAX('CPM'!L40,120))*'Calendar'!$B$7</x:f>
        <x:v>0</x:v>
      </x:c>
      <x:c r="AD40" s="21" t="n">
        <x:f>MAX(0,MIN('CPM'!M40,130)-MAX('CPM'!L40,125))*'Calendar'!$B$7</x:f>
        <x:v>0</x:v>
      </x:c>
      <x:c r="AE40" s="21" t="n">
        <x:f>MAX(0,MIN('CPM'!M40,135)-MAX('CPM'!L40,130))*'Calendar'!$B$7</x:f>
        <x:v>0</x:v>
      </x:c>
      <x:c r="AF40" s="21" t="n">
        <x:f>MAX(0,MIN('CPM'!M40,140)-MAX('CPM'!L40,135))*'Calendar'!$B$7</x:f>
        <x:v>0</x:v>
      </x:c>
      <x:c r="AG40" s="21" t="n">
        <x:f>MAX(0,MIN('CPM'!M40,145)-MAX('CPM'!L40,140))*'Calendar'!$B$7</x:f>
        <x:v>0</x:v>
      </x:c>
      <x:c r="AH40" s="21" t="n">
        <x:f>MAX(0,MIN('CPM'!M40,150)-MAX('CPM'!L40,145))*'Calendar'!$B$7</x:f>
        <x:v>0</x:v>
      </x:c>
      <x:c r="AI40" s="21" t="n">
        <x:f>MAX(0,MIN('CPM'!M40,155)-MAX('CPM'!L40,150))*'Calendar'!$B$7</x:f>
        <x:v>0</x:v>
      </x:c>
    </x:row>
    <x:row r="41" ht="35" customHeight="1">
      <x:c r="A41" s="6" t="str">
        <x:v>ACT-6.2-01</x:v>
      </x:c>
      <x:c r="B41" s="6" t="str">
        <x:v>Quang Anh</x:v>
      </x:c>
      <x:c r="C41" s="7" t="n">
        <x:f>WORKDAY('Calendar'!$B$4-1,INT('CPM'!L41)+1)</x:f>
        <x:v>46485</x:v>
      </x:c>
      <x:c r="D41" s="7" t="n">
        <x:f>WORKDAY('Calendar'!$B$4-1,MAX(1,ROUNDUP('CPM'!M41,0)))</x:f>
        <x:v>46492</x:v>
      </x:c>
      <x:c r="E41" s="21" t="n">
        <x:f>MAX(0,MIN('CPM'!M41,5)-MAX('CPM'!L41,0))*'Calendar'!$B$7</x:f>
        <x:v>0</x:v>
      </x:c>
      <x:c r="F41" s="21" t="n">
        <x:f>MAX(0,MIN('CPM'!M41,10)-MAX('CPM'!L41,5))*'Calendar'!$B$7</x:f>
        <x:v>0</x:v>
      </x:c>
      <x:c r="G41" s="21" t="n">
        <x:f>MAX(0,MIN('CPM'!M41,15)-MAX('CPM'!L41,10))*'Calendar'!$B$7</x:f>
        <x:v>0</x:v>
      </x:c>
      <x:c r="H41" s="21" t="n">
        <x:f>MAX(0,MIN('CPM'!M41,20)-MAX('CPM'!L41,15))*'Calendar'!$B$7</x:f>
        <x:v>0</x:v>
      </x:c>
      <x:c r="I41" s="21" t="n">
        <x:f>MAX(0,MIN('CPM'!M41,25)-MAX('CPM'!L41,20))*'Calendar'!$B$7</x:f>
        <x:v>0</x:v>
      </x:c>
      <x:c r="J41" s="21" t="n">
        <x:f>MAX(0,MIN('CPM'!M41,30)-MAX('CPM'!L41,25))*'Calendar'!$B$7</x:f>
        <x:v>0</x:v>
      </x:c>
      <x:c r="K41" s="21" t="n">
        <x:f>MAX(0,MIN('CPM'!M41,35)-MAX('CPM'!L41,30))*'Calendar'!$B$7</x:f>
        <x:v>0</x:v>
      </x:c>
      <x:c r="L41" s="21" t="n">
        <x:f>MAX(0,MIN('CPM'!M41,40)-MAX('CPM'!L41,35))*'Calendar'!$B$7</x:f>
        <x:v>0</x:v>
      </x:c>
      <x:c r="M41" s="21" t="n">
        <x:f>MAX(0,MIN('CPM'!M41,45)-MAX('CPM'!L41,40))*'Calendar'!$B$7</x:f>
        <x:v>0</x:v>
      </x:c>
      <x:c r="N41" s="21" t="n">
        <x:f>MAX(0,MIN('CPM'!M41,50)-MAX('CPM'!L41,45))*'Calendar'!$B$7</x:f>
        <x:v>0</x:v>
      </x:c>
      <x:c r="O41" s="21" t="n">
        <x:f>MAX(0,MIN('CPM'!M41,55)-MAX('CPM'!L41,50))*'Calendar'!$B$7</x:f>
        <x:v>0</x:v>
      </x:c>
      <x:c r="P41" s="21" t="n">
        <x:f>MAX(0,MIN('CPM'!M41,60)-MAX('CPM'!L41,55))*'Calendar'!$B$7</x:f>
        <x:v>0</x:v>
      </x:c>
      <x:c r="Q41" s="21" t="n">
        <x:f>MAX(0,MIN('CPM'!M41,65)-MAX('CPM'!L41,60))*'Calendar'!$B$7</x:f>
        <x:v>0</x:v>
      </x:c>
      <x:c r="R41" s="21" t="n">
        <x:f>MAX(0,MIN('CPM'!M41,70)-MAX('CPM'!L41,65))*'Calendar'!$B$7</x:f>
        <x:v>0</x:v>
      </x:c>
      <x:c r="S41" s="21" t="n">
        <x:f>MAX(0,MIN('CPM'!M41,75)-MAX('CPM'!L41,70))*'Calendar'!$B$7</x:f>
        <x:v>0</x:v>
      </x:c>
      <x:c r="T41" s="21" t="n">
        <x:f>MAX(0,MIN('CPM'!M41,80)-MAX('CPM'!L41,75))*'Calendar'!$B$7</x:f>
        <x:v>0</x:v>
      </x:c>
      <x:c r="U41" s="21" t="n">
        <x:f>MAX(0,MIN('CPM'!M41,85)-MAX('CPM'!L41,80))*'Calendar'!$B$7</x:f>
        <x:v>0</x:v>
      </x:c>
      <x:c r="V41" s="21" t="n">
        <x:f>MAX(0,MIN('CPM'!M41,90)-MAX('CPM'!L41,85))*'Calendar'!$B$7</x:f>
        <x:v>0</x:v>
      </x:c>
      <x:c r="W41" s="21" t="n">
        <x:f>MAX(0,MIN('CPM'!M41,95)-MAX('CPM'!L41,90))*'Calendar'!$B$7</x:f>
        <x:v>0</x:v>
      </x:c>
      <x:c r="X41" s="21" t="n">
        <x:f>MAX(0,MIN('CPM'!M41,100)-MAX('CPM'!L41,95))*'Calendar'!$B$7</x:f>
        <x:v>0</x:v>
      </x:c>
      <x:c r="Y41" s="21" t="n">
        <x:f>MAX(0,MIN('CPM'!M41,105)-MAX('CPM'!L41,100))*'Calendar'!$B$7</x:f>
        <x:v>0</x:v>
      </x:c>
      <x:c r="Z41" s="21" t="n">
        <x:f>MAX(0,MIN('CPM'!M41,110)-MAX('CPM'!L41,105))*'Calendar'!$B$7</x:f>
        <x:v>0</x:v>
      </x:c>
      <x:c r="AA41" s="21" t="n">
        <x:f>MAX(0,MIN('CPM'!M41,115)-MAX('CPM'!L41,110))*'Calendar'!$B$7</x:f>
        <x:v>0</x:v>
      </x:c>
      <x:c r="AB41" s="21" t="n">
        <x:f>MAX(0,MIN('CPM'!M41,120)-MAX('CPM'!L41,115))*'Calendar'!$B$7</x:f>
        <x:v>0</x:v>
      </x:c>
      <x:c r="AC41" s="21" t="n">
        <x:f>MAX(0,MIN('CPM'!M41,125)-MAX('CPM'!L41,120))*'Calendar'!$B$7</x:f>
        <x:v>0</x:v>
      </x:c>
      <x:c r="AD41" s="21" t="n">
        <x:f>MAX(0,MIN('CPM'!M41,130)-MAX('CPM'!L41,125))*'Calendar'!$B$7</x:f>
        <x:v>0</x:v>
      </x:c>
      <x:c r="AE41" s="21" t="n">
        <x:f>MAX(0,MIN('CPM'!M41,135)-MAX('CPM'!L41,130))*'Calendar'!$B$7</x:f>
        <x:v>0</x:v>
      </x:c>
      <x:c r="AF41" s="21" t="n">
        <x:f>MAX(0,MIN('CPM'!M41,140)-MAX('CPM'!L41,135))*'Calendar'!$B$7</x:f>
        <x:v>0</x:v>
      </x:c>
      <x:c r="AG41" s="21" t="n">
        <x:f>MAX(0,MIN('CPM'!M41,145)-MAX('CPM'!L41,140))*'Calendar'!$B$7</x:f>
        <x:v>9.666666666666686</x:v>
      </x:c>
      <x:c r="AH41" s="21" t="n">
        <x:f>MAX(0,MIN('CPM'!M41,150)-MAX('CPM'!L41,145))*'Calendar'!$B$7</x:f>
        <x:v>0.3333333333333144</x:v>
      </x:c>
      <x:c r="AI41" s="21" t="n">
        <x:f>MAX(0,MIN('CPM'!M41,155)-MAX('CPM'!L41,150))*'Calendar'!$B$7</x:f>
        <x:v>0</x:v>
      </x:c>
    </x:row>
    <x:row r="42" ht="35" customHeight="1">
      <x:c r="A42" s="6" t="str">
        <x:v>ACT-6.3-01</x:v>
      </x:c>
      <x:c r="B42" s="6" t="str">
        <x:v>Quang Anh</x:v>
      </x:c>
      <x:c r="C42" s="7" t="n">
        <x:f>WORKDAY('Calendar'!$B$4-1,INT('CPM'!L42)+1)</x:f>
        <x:v>46492</x:v>
      </x:c>
      <x:c r="D42" s="7" t="n">
        <x:f>WORKDAY('Calendar'!$B$4-1,MAX(1,ROUNDUP('CPM'!M42,0)))</x:f>
        <x:v>46500</x:v>
      </x:c>
      <x:c r="E42" s="21" t="n">
        <x:f>MAX(0,MIN('CPM'!M42,5)-MAX('CPM'!L42,0))*'Calendar'!$B$7</x:f>
        <x:v>0</x:v>
      </x:c>
      <x:c r="F42" s="21" t="n">
        <x:f>MAX(0,MIN('CPM'!M42,10)-MAX('CPM'!L42,5))*'Calendar'!$B$7</x:f>
        <x:v>0</x:v>
      </x:c>
      <x:c r="G42" s="21" t="n">
        <x:f>MAX(0,MIN('CPM'!M42,15)-MAX('CPM'!L42,10))*'Calendar'!$B$7</x:f>
        <x:v>0</x:v>
      </x:c>
      <x:c r="H42" s="21" t="n">
        <x:f>MAX(0,MIN('CPM'!M42,20)-MAX('CPM'!L42,15))*'Calendar'!$B$7</x:f>
        <x:v>0</x:v>
      </x:c>
      <x:c r="I42" s="21" t="n">
        <x:f>MAX(0,MIN('CPM'!M42,25)-MAX('CPM'!L42,20))*'Calendar'!$B$7</x:f>
        <x:v>0</x:v>
      </x:c>
      <x:c r="J42" s="21" t="n">
        <x:f>MAX(0,MIN('CPM'!M42,30)-MAX('CPM'!L42,25))*'Calendar'!$B$7</x:f>
        <x:v>0</x:v>
      </x:c>
      <x:c r="K42" s="21" t="n">
        <x:f>MAX(0,MIN('CPM'!M42,35)-MAX('CPM'!L42,30))*'Calendar'!$B$7</x:f>
        <x:v>0</x:v>
      </x:c>
      <x:c r="L42" s="21" t="n">
        <x:f>MAX(0,MIN('CPM'!M42,40)-MAX('CPM'!L42,35))*'Calendar'!$B$7</x:f>
        <x:v>0</x:v>
      </x:c>
      <x:c r="M42" s="21" t="n">
        <x:f>MAX(0,MIN('CPM'!M42,45)-MAX('CPM'!L42,40))*'Calendar'!$B$7</x:f>
        <x:v>0</x:v>
      </x:c>
      <x:c r="N42" s="21" t="n">
        <x:f>MAX(0,MIN('CPM'!M42,50)-MAX('CPM'!L42,45))*'Calendar'!$B$7</x:f>
        <x:v>0</x:v>
      </x:c>
      <x:c r="O42" s="21" t="n">
        <x:f>MAX(0,MIN('CPM'!M42,55)-MAX('CPM'!L42,50))*'Calendar'!$B$7</x:f>
        <x:v>0</x:v>
      </x:c>
      <x:c r="P42" s="21" t="n">
        <x:f>MAX(0,MIN('CPM'!M42,60)-MAX('CPM'!L42,55))*'Calendar'!$B$7</x:f>
        <x:v>0</x:v>
      </x:c>
      <x:c r="Q42" s="21" t="n">
        <x:f>MAX(0,MIN('CPM'!M42,65)-MAX('CPM'!L42,60))*'Calendar'!$B$7</x:f>
        <x:v>0</x:v>
      </x:c>
      <x:c r="R42" s="21" t="n">
        <x:f>MAX(0,MIN('CPM'!M42,70)-MAX('CPM'!L42,65))*'Calendar'!$B$7</x:f>
        <x:v>0</x:v>
      </x:c>
      <x:c r="S42" s="21" t="n">
        <x:f>MAX(0,MIN('CPM'!M42,75)-MAX('CPM'!L42,70))*'Calendar'!$B$7</x:f>
        <x:v>0</x:v>
      </x:c>
      <x:c r="T42" s="21" t="n">
        <x:f>MAX(0,MIN('CPM'!M42,80)-MAX('CPM'!L42,75))*'Calendar'!$B$7</x:f>
        <x:v>0</x:v>
      </x:c>
      <x:c r="U42" s="21" t="n">
        <x:f>MAX(0,MIN('CPM'!M42,85)-MAX('CPM'!L42,80))*'Calendar'!$B$7</x:f>
        <x:v>0</x:v>
      </x:c>
      <x:c r="V42" s="21" t="n">
        <x:f>MAX(0,MIN('CPM'!M42,90)-MAX('CPM'!L42,85))*'Calendar'!$B$7</x:f>
        <x:v>0</x:v>
      </x:c>
      <x:c r="W42" s="21" t="n">
        <x:f>MAX(0,MIN('CPM'!M42,95)-MAX('CPM'!L42,90))*'Calendar'!$B$7</x:f>
        <x:v>0</x:v>
      </x:c>
      <x:c r="X42" s="21" t="n">
        <x:f>MAX(0,MIN('CPM'!M42,100)-MAX('CPM'!L42,95))*'Calendar'!$B$7</x:f>
        <x:v>0</x:v>
      </x:c>
      <x:c r="Y42" s="21" t="n">
        <x:f>MAX(0,MIN('CPM'!M42,105)-MAX('CPM'!L42,100))*'Calendar'!$B$7</x:f>
        <x:v>0</x:v>
      </x:c>
      <x:c r="Z42" s="21" t="n">
        <x:f>MAX(0,MIN('CPM'!M42,110)-MAX('CPM'!L42,105))*'Calendar'!$B$7</x:f>
        <x:v>0</x:v>
      </x:c>
      <x:c r="AA42" s="21" t="n">
        <x:f>MAX(0,MIN('CPM'!M42,115)-MAX('CPM'!L42,110))*'Calendar'!$B$7</x:f>
        <x:v>0</x:v>
      </x:c>
      <x:c r="AB42" s="21" t="n">
        <x:f>MAX(0,MIN('CPM'!M42,120)-MAX('CPM'!L42,115))*'Calendar'!$B$7</x:f>
        <x:v>0</x:v>
      </x:c>
      <x:c r="AC42" s="21" t="n">
        <x:f>MAX(0,MIN('CPM'!M42,125)-MAX('CPM'!L42,120))*'Calendar'!$B$7</x:f>
        <x:v>0</x:v>
      </x:c>
      <x:c r="AD42" s="21" t="n">
        <x:f>MAX(0,MIN('CPM'!M42,130)-MAX('CPM'!L42,125))*'Calendar'!$B$7</x:f>
        <x:v>0</x:v>
      </x:c>
      <x:c r="AE42" s="21" t="n">
        <x:f>MAX(0,MIN('CPM'!M42,135)-MAX('CPM'!L42,130))*'Calendar'!$B$7</x:f>
        <x:v>0</x:v>
      </x:c>
      <x:c r="AF42" s="21" t="n">
        <x:f>MAX(0,MIN('CPM'!M42,140)-MAX('CPM'!L42,135))*'Calendar'!$B$7</x:f>
        <x:v>0</x:v>
      </x:c>
      <x:c r="AG42" s="21" t="n">
        <x:f>MAX(0,MIN('CPM'!M42,145)-MAX('CPM'!L42,140))*'Calendar'!$B$7</x:f>
        <x:v>0</x:v>
      </x:c>
      <x:c r="AH42" s="21" t="n">
        <x:f>MAX(0,MIN('CPM'!M42,150)-MAX('CPM'!L42,145))*'Calendar'!$B$7</x:f>
        <x:v>9.666666666666686</x:v>
      </x:c>
      <x:c r="AI42" s="21" t="n">
        <x:f>MAX(0,MIN('CPM'!M42,155)-MAX('CPM'!L42,150))*'Calendar'!$B$7</x:f>
        <x:v>2.3333333333333144</x:v>
      </x:c>
    </x:row>
    <x:row r="45">
      <x:c r="A45" t="str">
        <x:v>Tổng tuần Chiến</x:v>
      </x:c>
      <x:c r="E45" s="23" t="n">
        <x:f>SUMIFS(E$8:E$42,$B$8:$B$42,"Chiến")</x:f>
        <x:v>10</x:v>
      </x:c>
      <x:c r="F45" s="23" t="n">
        <x:f>SUMIFS(F$8:F$42,$B$8:$B$42,"Chiến")</x:f>
        <x:v>10</x:v>
      </x:c>
      <x:c r="G45" s="23" t="n">
        <x:f>SUMIFS(G$8:G$42,$B$8:$B$42,"Chiến")</x:f>
        <x:v>10</x:v>
      </x:c>
      <x:c r="H45" s="23" t="n">
        <x:f>SUMIFS(H$8:H$42,$B$8:$B$42,"Chiến")</x:f>
        <x:v>10</x:v>
      </x:c>
      <x:c r="I45" s="23" t="n">
        <x:f>SUMIFS(I$8:I$42,$B$8:$B$42,"Chiến")</x:f>
        <x:v>10</x:v>
      </x:c>
      <x:c r="J45" s="23" t="n">
        <x:f>SUMIFS(J$8:J$42,$B$8:$B$42,"Chiến")</x:f>
        <x:v>10</x:v>
      </x:c>
      <x:c r="K45" s="23" t="n">
        <x:f>SUMIFS(K$8:K$42,$B$8:$B$42,"Chiến")</x:f>
        <x:v>10</x:v>
      </x:c>
      <x:c r="L45" s="23" t="n">
        <x:f>SUMIFS(L$8:L$42,$B$8:$B$42,"Chiến")</x:f>
        <x:v>10</x:v>
      </x:c>
      <x:c r="M45" s="23" t="n">
        <x:f>SUMIFS(M$8:M$42,$B$8:$B$42,"Chiến")</x:f>
        <x:v>10</x:v>
      </x:c>
      <x:c r="N45" s="23" t="n">
        <x:f>SUMIFS(N$8:N$42,$B$8:$B$42,"Chiến")</x:f>
        <x:v>10</x:v>
      </x:c>
      <x:c r="O45" s="23" t="n">
        <x:f>SUMIFS(O$8:O$42,$B$8:$B$42,"Chiến")</x:f>
        <x:v>10</x:v>
      </x:c>
      <x:c r="P45" s="23" t="n">
        <x:f>SUMIFS(P$8:P$42,$B$8:$B$42,"Chiến")</x:f>
        <x:v>10</x:v>
      </x:c>
      <x:c r="Q45" s="23" t="n">
        <x:f>SUMIFS(Q$8:Q$42,$B$8:$B$42,"Chiến")</x:f>
        <x:v>10</x:v>
      </x:c>
      <x:c r="R45" s="23" t="n">
        <x:f>SUMIFS(R$8:R$42,$B$8:$B$42,"Chiến")</x:f>
        <x:v>10</x:v>
      </x:c>
      <x:c r="S45" s="23" t="n">
        <x:f>SUMIFS(S$8:S$42,$B$8:$B$42,"Chiến")</x:f>
        <x:v>10</x:v>
      </x:c>
      <x:c r="T45" s="23" t="n">
        <x:f>SUMIFS(T$8:T$42,$B$8:$B$42,"Chiến")</x:f>
        <x:v>10</x:v>
      </x:c>
      <x:c r="U45" s="23" t="n">
        <x:f>SUMIFS(U$8:U$42,$B$8:$B$42,"Chiến")</x:f>
        <x:v>4.333333333333314</x:v>
      </x:c>
      <x:c r="V45" s="23" t="n">
        <x:f>SUMIFS(V$8:V$42,$B$8:$B$42,"Chiến")</x:f>
        <x:v>0</x:v>
      </x:c>
      <x:c r="W45" s="23" t="n">
        <x:f>SUMIFS(W$8:W$42,$B$8:$B$42,"Chiến")</x:f>
        <x:v>0</x:v>
      </x:c>
      <x:c r="X45" s="23" t="n">
        <x:f>SUMIFS(X$8:X$42,$B$8:$B$42,"Chiến")</x:f>
        <x:v>3.6666666666666856</x:v>
      </x:c>
      <x:c r="Y45" s="23" t="n">
        <x:f>SUMIFS(Y$8:Y$42,$B$8:$B$42,"Chiến")</x:f>
        <x:v>10</x:v>
      </x:c>
      <x:c r="Z45" s="23" t="n">
        <x:f>SUMIFS(Z$8:Z$42,$B$8:$B$42,"Chiến")</x:f>
        <x:v>10</x:v>
      </x:c>
      <x:c r="AA45" s="23" t="n">
        <x:f>SUMIFS(AA$8:AA$42,$B$8:$B$42,"Chiến")</x:f>
        <x:v>10</x:v>
      </x:c>
      <x:c r="AB45" s="23" t="n">
        <x:f>SUMIFS(AB$8:AB$42,$B$8:$B$42,"Chiến")</x:f>
        <x:v>10</x:v>
      </x:c>
      <x:c r="AC45" s="23" t="n">
        <x:f>SUMIFS(AC$8:AC$42,$B$8:$B$42,"Chiến")</x:f>
        <x:v>10</x:v>
      </x:c>
      <x:c r="AD45" s="23" t="n">
        <x:f>SUMIFS(AD$8:AD$42,$B$8:$B$42,"Chiến")</x:f>
        <x:v>10</x:v>
      </x:c>
      <x:c r="AE45" s="23" t="n">
        <x:f>SUMIFS(AE$8:AE$42,$B$8:$B$42,"Chiến")</x:f>
        <x:v>10</x:v>
      </x:c>
      <x:c r="AF45" s="23" t="n">
        <x:f>SUMIFS(AF$8:AF$42,$B$8:$B$42,"Chiến")</x:f>
        <x:v>10</x:v>
      </x:c>
      <x:c r="AG45" s="23" t="n">
        <x:f>SUMIFS(AG$8:AG$42,$B$8:$B$42,"Chiến")</x:f>
        <x:v>0.3333333333333144</x:v>
      </x:c>
      <x:c r="AH45" s="23" t="n">
        <x:f>SUMIFS(AH$8:AH$42,$B$8:$B$42,"Chiến")</x:f>
        <x:v>0</x:v>
      </x:c>
      <x:c r="AI45" s="23" t="n">
        <x:f>SUMIFS(AI$8:AI$42,$B$8:$B$42,"Chiến")</x:f>
        <x:v>0</x:v>
      </x:c>
    </x:row>
    <x:row r="46">
      <x:c r="A46" t="str">
        <x:v>Tổng tuần Việt Quang</x:v>
      </x:c>
      <x:c r="E46" s="23" t="n">
        <x:f>SUMIFS(E$8:E$42,$B$8:$B$42,"Việt Quang")</x:f>
        <x:v>0</x:v>
      </x:c>
      <x:c r="F46" s="23" t="n">
        <x:f>SUMIFS(F$8:F$42,$B$8:$B$42,"Việt Quang")</x:f>
        <x:v>0</x:v>
      </x:c>
      <x:c r="G46" s="23" t="n">
        <x:f>SUMIFS(G$8:G$42,$B$8:$B$42,"Việt Quang")</x:f>
        <x:v>0</x:v>
      </x:c>
      <x:c r="H46" s="23" t="n">
        <x:f>SUMIFS(H$8:H$42,$B$8:$B$42,"Việt Quang")</x:f>
        <x:v>0</x:v>
      </x:c>
      <x:c r="I46" s="23" t="n">
        <x:f>SUMIFS(I$8:I$42,$B$8:$B$42,"Việt Quang")</x:f>
        <x:v>0</x:v>
      </x:c>
      <x:c r="J46" s="23" t="n">
        <x:f>SUMIFS(J$8:J$42,$B$8:$B$42,"Việt Quang")</x:f>
        <x:v>0</x:v>
      </x:c>
      <x:c r="K46" s="23" t="n">
        <x:f>SUMIFS(K$8:K$42,$B$8:$B$42,"Việt Quang")</x:f>
        <x:v>0</x:v>
      </x:c>
      <x:c r="L46" s="23" t="n">
        <x:f>SUMIFS(L$8:L$42,$B$8:$B$42,"Việt Quang")</x:f>
        <x:v>0</x:v>
      </x:c>
      <x:c r="M46" s="23" t="n">
        <x:f>SUMIFS(M$8:M$42,$B$8:$B$42,"Việt Quang")</x:f>
        <x:v>0</x:v>
      </x:c>
      <x:c r="N46" s="23" t="n">
        <x:f>SUMIFS(N$8:N$42,$B$8:$B$42,"Việt Quang")</x:f>
        <x:v>0</x:v>
      </x:c>
      <x:c r="O46" s="23" t="n">
        <x:f>SUMIFS(O$8:O$42,$B$8:$B$42,"Việt Quang")</x:f>
        <x:v>0</x:v>
      </x:c>
      <x:c r="P46" s="23" t="n">
        <x:f>SUMIFS(P$8:P$42,$B$8:$B$42,"Việt Quang")</x:f>
        <x:v>0</x:v>
      </x:c>
      <x:c r="Q46" s="23" t="n">
        <x:f>SUMIFS(Q$8:Q$42,$B$8:$B$42,"Việt Quang")</x:f>
        <x:v>0</x:v>
      </x:c>
      <x:c r="R46" s="23" t="n">
        <x:f>SUMIFS(R$8:R$42,$B$8:$B$42,"Việt Quang")</x:f>
        <x:v>0</x:v>
      </x:c>
      <x:c r="S46" s="23" t="n">
        <x:f>SUMIFS(S$8:S$42,$B$8:$B$42,"Việt Quang")</x:f>
        <x:v>0</x:v>
      </x:c>
      <x:c r="T46" s="23" t="n">
        <x:f>SUMIFS(T$8:T$42,$B$8:$B$42,"Việt Quang")</x:f>
        <x:v>3.6666666666666856</x:v>
      </x:c>
      <x:c r="U46" s="23" t="n">
        <x:f>SUMIFS(U$8:U$42,$B$8:$B$42,"Việt Quang")</x:f>
        <x:v>10</x:v>
      </x:c>
      <x:c r="V46" s="23" t="n">
        <x:f>SUMIFS(V$8:V$42,$B$8:$B$42,"Việt Quang")</x:f>
        <x:v>10</x:v>
      </x:c>
      <x:c r="W46" s="23" t="n">
        <x:f>SUMIFS(W$8:W$42,$B$8:$B$42,"Việt Quang")</x:f>
        <x:v>10</x:v>
      </x:c>
      <x:c r="X46" s="23" t="n">
        <x:f>SUMIFS(X$8:X$42,$B$8:$B$42,"Việt Quang")</x:f>
        <x:v>10</x:v>
      </x:c>
      <x:c r="Y46" s="23" t="n">
        <x:f>SUMIFS(Y$8:Y$42,$B$8:$B$42,"Việt Quang")</x:f>
        <x:v>10</x:v>
      </x:c>
      <x:c r="Z46" s="23" t="n">
        <x:f>SUMIFS(Z$8:Z$42,$B$8:$B$42,"Việt Quang")</x:f>
        <x:v>10</x:v>
      </x:c>
      <x:c r="AA46" s="23" t="n">
        <x:f>SUMIFS(AA$8:AA$42,$B$8:$B$42,"Việt Quang")</x:f>
        <x:v>10</x:v>
      </x:c>
      <x:c r="AB46" s="23" t="n">
        <x:f>SUMIFS(AB$8:AB$42,$B$8:$B$42,"Việt Quang")</x:f>
        <x:v>10</x:v>
      </x:c>
      <x:c r="AC46" s="23" t="n">
        <x:f>SUMIFS(AC$8:AC$42,$B$8:$B$42,"Việt Quang")</x:f>
        <x:v>10</x:v>
      </x:c>
      <x:c r="AD46" s="23" t="n">
        <x:f>SUMIFS(AD$8:AD$42,$B$8:$B$42,"Việt Quang")</x:f>
        <x:v>10</x:v>
      </x:c>
      <x:c r="AE46" s="23" t="n">
        <x:f>SUMIFS(AE$8:AE$42,$B$8:$B$42,"Việt Quang")</x:f>
        <x:v>10</x:v>
      </x:c>
      <x:c r="AF46" s="23" t="n">
        <x:f>SUMIFS(AF$8:AF$42,$B$8:$B$42,"Việt Quang")</x:f>
        <x:v>6.999999999999943</x:v>
      </x:c>
      <x:c r="AG46" s="23" t="n">
        <x:f>SUMIFS(AG$8:AG$42,$B$8:$B$42,"Việt Quang")</x:f>
        <x:v>0</x:v>
      </x:c>
      <x:c r="AH46" s="23" t="n">
        <x:f>SUMIFS(AH$8:AH$42,$B$8:$B$42,"Việt Quang")</x:f>
        <x:v>0</x:v>
      </x:c>
      <x:c r="AI46" s="23" t="n">
        <x:f>SUMIFS(AI$8:AI$42,$B$8:$B$42,"Việt Quang")</x:f>
        <x:v>0</x:v>
      </x:c>
    </x:row>
    <x:row r="47">
      <x:c r="A47" t="str">
        <x:v>Tổng tuần Quang Anh</x:v>
      </x:c>
      <x:c r="E47" s="23" t="n">
        <x:f>SUMIFS(E$8:E$42,$B$8:$B$42,"Quang Anh")</x:f>
        <x:v>0</x:v>
      </x:c>
      <x:c r="F47" s="23" t="n">
        <x:f>SUMIFS(F$8:F$42,$B$8:$B$42,"Quang Anh")</x:f>
        <x:v>0</x:v>
      </x:c>
      <x:c r="G47" s="23" t="n">
        <x:f>SUMIFS(G$8:G$42,$B$8:$B$42,"Quang Anh")</x:f>
        <x:v>0</x:v>
      </x:c>
      <x:c r="H47" s="23" t="n">
        <x:f>SUMIFS(H$8:H$42,$B$8:$B$42,"Quang Anh")</x:f>
        <x:v>0</x:v>
      </x:c>
      <x:c r="I47" s="23" t="n">
        <x:f>SUMIFS(I$8:I$42,$B$8:$B$42,"Quang Anh")</x:f>
        <x:v>0</x:v>
      </x:c>
      <x:c r="J47" s="23" t="n">
        <x:f>SUMIFS(J$8:J$42,$B$8:$B$42,"Quang Anh")</x:f>
        <x:v>0</x:v>
      </x:c>
      <x:c r="K47" s="23" t="n">
        <x:f>SUMIFS(K$8:K$42,$B$8:$B$42,"Quang Anh")</x:f>
        <x:v>0</x:v>
      </x:c>
      <x:c r="L47" s="23" t="n">
        <x:f>SUMIFS(L$8:L$42,$B$8:$B$42,"Quang Anh")</x:f>
        <x:v>0</x:v>
      </x:c>
      <x:c r="M47" s="23" t="n">
        <x:f>SUMIFS(M$8:M$42,$B$8:$B$42,"Quang Anh")</x:f>
        <x:v>0</x:v>
      </x:c>
      <x:c r="N47" s="23" t="n">
        <x:f>SUMIFS(N$8:N$42,$B$8:$B$42,"Quang Anh")</x:f>
        <x:v>0</x:v>
      </x:c>
      <x:c r="O47" s="23" t="n">
        <x:f>SUMIFS(O$8:O$42,$B$8:$B$42,"Quang Anh")</x:f>
        <x:v>0</x:v>
      </x:c>
      <x:c r="P47" s="23" t="n">
        <x:f>SUMIFS(P$8:P$42,$B$8:$B$42,"Quang Anh")</x:f>
        <x:v>0</x:v>
      </x:c>
      <x:c r="Q47" s="23" t="n">
        <x:f>SUMIFS(Q$8:Q$42,$B$8:$B$42,"Quang Anh")</x:f>
        <x:v>0</x:v>
      </x:c>
      <x:c r="R47" s="23" t="n">
        <x:f>SUMIFS(R$8:R$42,$B$8:$B$42,"Quang Anh")</x:f>
        <x:v>0</x:v>
      </x:c>
      <x:c r="S47" s="23" t="n">
        <x:f>SUMIFS(S$8:S$42,$B$8:$B$42,"Quang Anh")</x:f>
        <x:v>0</x:v>
      </x:c>
      <x:c r="T47" s="23" t="n">
        <x:f>SUMIFS(T$8:T$42,$B$8:$B$42,"Quang Anh")</x:f>
        <x:v>0</x:v>
      </x:c>
      <x:c r="U47" s="23" t="n">
        <x:f>SUMIFS(U$8:U$42,$B$8:$B$42,"Quang Anh")</x:f>
        <x:v>0</x:v>
      </x:c>
      <x:c r="V47" s="23" t="n">
        <x:f>SUMIFS(V$8:V$42,$B$8:$B$42,"Quang Anh")</x:f>
        <x:v>0</x:v>
      </x:c>
      <x:c r="W47" s="23" t="n">
        <x:f>SUMIFS(W$8:W$42,$B$8:$B$42,"Quang Anh")</x:f>
        <x:v>0</x:v>
      </x:c>
      <x:c r="X47" s="23" t="n">
        <x:f>SUMIFS(X$8:X$42,$B$8:$B$42,"Quang Anh")</x:f>
        <x:v>3.6666666666666856</x:v>
      </x:c>
      <x:c r="Y47" s="23" t="n">
        <x:f>SUMIFS(Y$8:Y$42,$B$8:$B$42,"Quang Anh")</x:f>
        <x:v>10</x:v>
      </x:c>
      <x:c r="Z47" s="23" t="n">
        <x:f>SUMIFS(Z$8:Z$42,$B$8:$B$42,"Quang Anh")</x:f>
        <x:v>10</x:v>
      </x:c>
      <x:c r="AA47" s="23" t="n">
        <x:f>SUMIFS(AA$8:AA$42,$B$8:$B$42,"Quang Anh")</x:f>
        <x:v>10</x:v>
      </x:c>
      <x:c r="AB47" s="23" t="n">
        <x:f>SUMIFS(AB$8:AB$42,$B$8:$B$42,"Quang Anh")</x:f>
        <x:v>2.3333333333333144</x:v>
      </x:c>
      <x:c r="AC47" s="23" t="n">
        <x:f>SUMIFS(AC$8:AC$42,$B$8:$B$42,"Quang Anh")</x:f>
        <x:v>0</x:v>
      </x:c>
      <x:c r="AD47" s="23" t="n">
        <x:f>SUMIFS(AD$8:AD$42,$B$8:$B$42,"Quang Anh")</x:f>
        <x:v>0</x:v>
      </x:c>
      <x:c r="AE47" s="23" t="n">
        <x:f>SUMIFS(AE$8:AE$42,$B$8:$B$42,"Quang Anh")</x:f>
        <x:v>0</x:v>
      </x:c>
      <x:c r="AF47" s="23" t="n">
        <x:f>SUMIFS(AF$8:AF$42,$B$8:$B$42,"Quang Anh")</x:f>
        <x:v>0</x:v>
      </x:c>
      <x:c r="AG47" s="23" t="n">
        <x:f>SUMIFS(AG$8:AG$42,$B$8:$B$42,"Quang Anh")</x:f>
        <x:v>9.666666666666686</x:v>
      </x:c>
      <x:c r="AH47" s="23" t="n">
        <x:f>SUMIFS(AH$8:AH$42,$B$8:$B$42,"Quang Anh")</x:f>
        <x:v>10</x:v>
      </x:c>
      <x:c r="AI47" s="23" t="n">
        <x:f>SUMIFS(AI$8:AI$42,$B$8:$B$42,"Quang Anh")</x:f>
        <x:v>2.3333333333333144</x:v>
      </x:c>
    </x:row>
  </x:sheetData>
  <x:conditionalFormatting sqref="E45:E45">
    <x:cfRule type="expression" dxfId="1" priority="1">
      <x:formula>E45&gt;'Calendar'!$B$5</x:formula>
    </x:cfRule>
  </x:conditionalFormatting>
  <x:conditionalFormatting sqref="F45:F45">
    <x:cfRule type="expression" dxfId="2" priority="2">
      <x:formula>F45&gt;'Calendar'!$B$5</x:formula>
    </x:cfRule>
  </x:conditionalFormatting>
  <x:conditionalFormatting sqref="G45:G45">
    <x:cfRule type="expression" dxfId="3" priority="3">
      <x:formula>G45&gt;'Calendar'!$B$5</x:formula>
    </x:cfRule>
  </x:conditionalFormatting>
  <x:conditionalFormatting sqref="H45:H45">
    <x:cfRule type="expression" dxfId="4" priority="4">
      <x:formula>H45&gt;'Calendar'!$B$5</x:formula>
    </x:cfRule>
  </x:conditionalFormatting>
  <x:conditionalFormatting sqref="I45:I45">
    <x:cfRule type="expression" dxfId="5" priority="5">
      <x:formula>I45&gt;'Calendar'!$B$5</x:formula>
    </x:cfRule>
  </x:conditionalFormatting>
  <x:conditionalFormatting sqref="J45:J45">
    <x:cfRule type="expression" dxfId="6" priority="6">
      <x:formula>J45&gt;'Calendar'!$B$5</x:formula>
    </x:cfRule>
  </x:conditionalFormatting>
  <x:conditionalFormatting sqref="K45:K45">
    <x:cfRule type="expression" dxfId="7" priority="7">
      <x:formula>K45&gt;'Calendar'!$B$5</x:formula>
    </x:cfRule>
  </x:conditionalFormatting>
  <x:conditionalFormatting sqref="L45:L45">
    <x:cfRule type="expression" dxfId="8" priority="8">
      <x:formula>L45&gt;'Calendar'!$B$5</x:formula>
    </x:cfRule>
  </x:conditionalFormatting>
  <x:conditionalFormatting sqref="M45:M45">
    <x:cfRule type="expression" dxfId="9" priority="9">
      <x:formula>M45&gt;'Calendar'!$B$5</x:formula>
    </x:cfRule>
  </x:conditionalFormatting>
  <x:conditionalFormatting sqref="N45:N45">
    <x:cfRule type="expression" dxfId="10" priority="10">
      <x:formula>N45&gt;'Calendar'!$B$5</x:formula>
    </x:cfRule>
  </x:conditionalFormatting>
  <x:conditionalFormatting sqref="O45:O45">
    <x:cfRule type="expression" dxfId="11" priority="11">
      <x:formula>O45&gt;'Calendar'!$B$5</x:formula>
    </x:cfRule>
  </x:conditionalFormatting>
  <x:conditionalFormatting sqref="P45:P45">
    <x:cfRule type="expression" dxfId="12" priority="12">
      <x:formula>P45&gt;'Calendar'!$B$5</x:formula>
    </x:cfRule>
  </x:conditionalFormatting>
  <x:conditionalFormatting sqref="Q45:Q45">
    <x:cfRule type="expression" dxfId="13" priority="13">
      <x:formula>Q45&gt;'Calendar'!$B$5</x:formula>
    </x:cfRule>
  </x:conditionalFormatting>
  <x:conditionalFormatting sqref="R45:R45">
    <x:cfRule type="expression" dxfId="14" priority="14">
      <x:formula>R45&gt;'Calendar'!$B$5</x:formula>
    </x:cfRule>
  </x:conditionalFormatting>
  <x:conditionalFormatting sqref="S45:S45">
    <x:cfRule type="expression" dxfId="15" priority="15">
      <x:formula>S45&gt;'Calendar'!$B$5</x:formula>
    </x:cfRule>
  </x:conditionalFormatting>
  <x:conditionalFormatting sqref="T45:T45">
    <x:cfRule type="expression" dxfId="16" priority="16">
      <x:formula>T45&gt;'Calendar'!$B$5</x:formula>
    </x:cfRule>
  </x:conditionalFormatting>
  <x:conditionalFormatting sqref="U45:U45">
    <x:cfRule type="expression" dxfId="17" priority="17">
      <x:formula>U45&gt;'Calendar'!$B$5</x:formula>
    </x:cfRule>
  </x:conditionalFormatting>
  <x:conditionalFormatting sqref="V45:V45">
    <x:cfRule type="expression" dxfId="18" priority="18">
      <x:formula>V45&gt;'Calendar'!$B$5</x:formula>
    </x:cfRule>
  </x:conditionalFormatting>
  <x:conditionalFormatting sqref="W45:W45">
    <x:cfRule type="expression" dxfId="19" priority="19">
      <x:formula>W45&gt;'Calendar'!$B$5</x:formula>
    </x:cfRule>
  </x:conditionalFormatting>
  <x:conditionalFormatting sqref="X45:X45">
    <x:cfRule type="expression" dxfId="20" priority="20">
      <x:formula>X45&gt;'Calendar'!$B$5</x:formula>
    </x:cfRule>
  </x:conditionalFormatting>
  <x:conditionalFormatting sqref="Y45:Y45">
    <x:cfRule type="expression" dxfId="21" priority="21">
      <x:formula>Y45&gt;'Calendar'!$B$5</x:formula>
    </x:cfRule>
  </x:conditionalFormatting>
  <x:conditionalFormatting sqref="Z45:Z45">
    <x:cfRule type="expression" dxfId="22" priority="22">
      <x:formula>Z45&gt;'Calendar'!$B$5</x:formula>
    </x:cfRule>
  </x:conditionalFormatting>
  <x:conditionalFormatting sqref="AA45:AA45">
    <x:cfRule type="expression" dxfId="23" priority="23">
      <x:formula>AA45&gt;'Calendar'!$B$5</x:formula>
    </x:cfRule>
  </x:conditionalFormatting>
  <x:conditionalFormatting sqref="AB45:AB45">
    <x:cfRule type="expression" dxfId="24" priority="24">
      <x:formula>AB45&gt;'Calendar'!$B$5</x:formula>
    </x:cfRule>
  </x:conditionalFormatting>
  <x:conditionalFormatting sqref="AC45:AC45">
    <x:cfRule type="expression" dxfId="25" priority="25">
      <x:formula>AC45&gt;'Calendar'!$B$5</x:formula>
    </x:cfRule>
  </x:conditionalFormatting>
  <x:conditionalFormatting sqref="AD45:AD45">
    <x:cfRule type="expression" dxfId="26" priority="26">
      <x:formula>AD45&gt;'Calendar'!$B$5</x:formula>
    </x:cfRule>
  </x:conditionalFormatting>
  <x:conditionalFormatting sqref="AE45:AE45">
    <x:cfRule type="expression" dxfId="27" priority="27">
      <x:formula>AE45&gt;'Calendar'!$B$5</x:formula>
    </x:cfRule>
  </x:conditionalFormatting>
  <x:conditionalFormatting sqref="AF45:AF45">
    <x:cfRule type="expression" dxfId="28" priority="28">
      <x:formula>AF45&gt;'Calendar'!$B$5</x:formula>
    </x:cfRule>
  </x:conditionalFormatting>
  <x:conditionalFormatting sqref="AG45:AG45">
    <x:cfRule type="expression" dxfId="29" priority="29">
      <x:formula>AG45&gt;'Calendar'!$B$5</x:formula>
    </x:cfRule>
  </x:conditionalFormatting>
  <x:conditionalFormatting sqref="AH45:AH45">
    <x:cfRule type="expression" dxfId="30" priority="30">
      <x:formula>AH45&gt;'Calendar'!$B$5</x:formula>
    </x:cfRule>
  </x:conditionalFormatting>
  <x:conditionalFormatting sqref="AI45:AI45">
    <x:cfRule type="expression" dxfId="31" priority="31">
      <x:formula>AI45&gt;'Calendar'!$B$5</x:formula>
    </x:cfRule>
  </x:conditionalFormatting>
  <x:conditionalFormatting sqref="E46:E46">
    <x:cfRule type="expression" dxfId="32" priority="32">
      <x:formula>E46&gt;'Calendar'!$B$5</x:formula>
    </x:cfRule>
  </x:conditionalFormatting>
  <x:conditionalFormatting sqref="F46:F46">
    <x:cfRule type="expression" dxfId="33" priority="33">
      <x:formula>F46&gt;'Calendar'!$B$5</x:formula>
    </x:cfRule>
  </x:conditionalFormatting>
  <x:conditionalFormatting sqref="G46:G46">
    <x:cfRule type="expression" dxfId="34" priority="34">
      <x:formula>G46&gt;'Calendar'!$B$5</x:formula>
    </x:cfRule>
  </x:conditionalFormatting>
  <x:conditionalFormatting sqref="H46:H46">
    <x:cfRule type="expression" dxfId="35" priority="35">
      <x:formula>H46&gt;'Calendar'!$B$5</x:formula>
    </x:cfRule>
  </x:conditionalFormatting>
  <x:conditionalFormatting sqref="I46:I46">
    <x:cfRule type="expression" dxfId="36" priority="36">
      <x:formula>I46&gt;'Calendar'!$B$5</x:formula>
    </x:cfRule>
  </x:conditionalFormatting>
  <x:conditionalFormatting sqref="J46:J46">
    <x:cfRule type="expression" dxfId="37" priority="37">
      <x:formula>J46&gt;'Calendar'!$B$5</x:formula>
    </x:cfRule>
  </x:conditionalFormatting>
  <x:conditionalFormatting sqref="K46:K46">
    <x:cfRule type="expression" dxfId="38" priority="38">
      <x:formula>K46&gt;'Calendar'!$B$5</x:formula>
    </x:cfRule>
  </x:conditionalFormatting>
  <x:conditionalFormatting sqref="L46:L46">
    <x:cfRule type="expression" dxfId="39" priority="39">
      <x:formula>L46&gt;'Calendar'!$B$5</x:formula>
    </x:cfRule>
  </x:conditionalFormatting>
  <x:conditionalFormatting sqref="M46:M46">
    <x:cfRule type="expression" dxfId="40" priority="40">
      <x:formula>M46&gt;'Calendar'!$B$5</x:formula>
    </x:cfRule>
  </x:conditionalFormatting>
  <x:conditionalFormatting sqref="N46:N46">
    <x:cfRule type="expression" dxfId="41" priority="41">
      <x:formula>N46&gt;'Calendar'!$B$5</x:formula>
    </x:cfRule>
  </x:conditionalFormatting>
  <x:conditionalFormatting sqref="O46:O46">
    <x:cfRule type="expression" dxfId="42" priority="42">
      <x:formula>O46&gt;'Calendar'!$B$5</x:formula>
    </x:cfRule>
  </x:conditionalFormatting>
  <x:conditionalFormatting sqref="P46:P46">
    <x:cfRule type="expression" dxfId="43" priority="43">
      <x:formula>P46&gt;'Calendar'!$B$5</x:formula>
    </x:cfRule>
  </x:conditionalFormatting>
  <x:conditionalFormatting sqref="Q46:Q46">
    <x:cfRule type="expression" dxfId="44" priority="44">
      <x:formula>Q46&gt;'Calendar'!$B$5</x:formula>
    </x:cfRule>
  </x:conditionalFormatting>
  <x:conditionalFormatting sqref="R46:R46">
    <x:cfRule type="expression" dxfId="45" priority="45">
      <x:formula>R46&gt;'Calendar'!$B$5</x:formula>
    </x:cfRule>
  </x:conditionalFormatting>
  <x:conditionalFormatting sqref="S46:S46">
    <x:cfRule type="expression" dxfId="46" priority="46">
      <x:formula>S46&gt;'Calendar'!$B$5</x:formula>
    </x:cfRule>
  </x:conditionalFormatting>
  <x:conditionalFormatting sqref="T46:T46">
    <x:cfRule type="expression" dxfId="47" priority="47">
      <x:formula>T46&gt;'Calendar'!$B$5</x:formula>
    </x:cfRule>
  </x:conditionalFormatting>
  <x:conditionalFormatting sqref="U46:U46">
    <x:cfRule type="expression" dxfId="48" priority="48">
      <x:formula>U46&gt;'Calendar'!$B$5</x:formula>
    </x:cfRule>
  </x:conditionalFormatting>
  <x:conditionalFormatting sqref="V46:V46">
    <x:cfRule type="expression" dxfId="49" priority="49">
      <x:formula>V46&gt;'Calendar'!$B$5</x:formula>
    </x:cfRule>
  </x:conditionalFormatting>
  <x:conditionalFormatting sqref="W46:W46">
    <x:cfRule type="expression" dxfId="50" priority="50">
      <x:formula>W46&gt;'Calendar'!$B$5</x:formula>
    </x:cfRule>
  </x:conditionalFormatting>
  <x:conditionalFormatting sqref="X46:X46">
    <x:cfRule type="expression" dxfId="51" priority="51">
      <x:formula>X46&gt;'Calendar'!$B$5</x:formula>
    </x:cfRule>
  </x:conditionalFormatting>
  <x:conditionalFormatting sqref="Y46:Y46">
    <x:cfRule type="expression" dxfId="52" priority="52">
      <x:formula>Y46&gt;'Calendar'!$B$5</x:formula>
    </x:cfRule>
  </x:conditionalFormatting>
  <x:conditionalFormatting sqref="Z46:Z46">
    <x:cfRule type="expression" dxfId="53" priority="53">
      <x:formula>Z46&gt;'Calendar'!$B$5</x:formula>
    </x:cfRule>
  </x:conditionalFormatting>
  <x:conditionalFormatting sqref="AA46:AA46">
    <x:cfRule type="expression" dxfId="54" priority="54">
      <x:formula>AA46&gt;'Calendar'!$B$5</x:formula>
    </x:cfRule>
  </x:conditionalFormatting>
  <x:conditionalFormatting sqref="AB46:AB46">
    <x:cfRule type="expression" dxfId="55" priority="55">
      <x:formula>AB46&gt;'Calendar'!$B$5</x:formula>
    </x:cfRule>
  </x:conditionalFormatting>
  <x:conditionalFormatting sqref="AC46:AC46">
    <x:cfRule type="expression" dxfId="56" priority="56">
      <x:formula>AC46&gt;'Calendar'!$B$5</x:formula>
    </x:cfRule>
  </x:conditionalFormatting>
  <x:conditionalFormatting sqref="AD46:AD46">
    <x:cfRule type="expression" dxfId="57" priority="57">
      <x:formula>AD46&gt;'Calendar'!$B$5</x:formula>
    </x:cfRule>
  </x:conditionalFormatting>
  <x:conditionalFormatting sqref="AE46:AE46">
    <x:cfRule type="expression" dxfId="58" priority="58">
      <x:formula>AE46&gt;'Calendar'!$B$5</x:formula>
    </x:cfRule>
  </x:conditionalFormatting>
  <x:conditionalFormatting sqref="AF46:AF46">
    <x:cfRule type="expression" dxfId="59" priority="59">
      <x:formula>AF46&gt;'Calendar'!$B$5</x:formula>
    </x:cfRule>
  </x:conditionalFormatting>
  <x:conditionalFormatting sqref="AG46:AG46">
    <x:cfRule type="expression" dxfId="60" priority="60">
      <x:formula>AG46&gt;'Calendar'!$B$5</x:formula>
    </x:cfRule>
  </x:conditionalFormatting>
  <x:conditionalFormatting sqref="AH46:AH46">
    <x:cfRule type="expression" dxfId="61" priority="61">
      <x:formula>AH46&gt;'Calendar'!$B$5</x:formula>
    </x:cfRule>
  </x:conditionalFormatting>
  <x:conditionalFormatting sqref="AI46:AI46">
    <x:cfRule type="expression" dxfId="62" priority="62">
      <x:formula>AI46&gt;'Calendar'!$B$5</x:formula>
    </x:cfRule>
  </x:conditionalFormatting>
  <x:conditionalFormatting sqref="E47:E47">
    <x:cfRule type="expression" dxfId="63" priority="63">
      <x:formula>E47&gt;'Calendar'!$B$5</x:formula>
    </x:cfRule>
  </x:conditionalFormatting>
  <x:conditionalFormatting sqref="F47:F47">
    <x:cfRule type="expression" dxfId="64" priority="64">
      <x:formula>F47&gt;'Calendar'!$B$5</x:formula>
    </x:cfRule>
  </x:conditionalFormatting>
  <x:conditionalFormatting sqref="G47:G47">
    <x:cfRule type="expression" dxfId="65" priority="65">
      <x:formula>G47&gt;'Calendar'!$B$5</x:formula>
    </x:cfRule>
  </x:conditionalFormatting>
  <x:conditionalFormatting sqref="H47:H47">
    <x:cfRule type="expression" dxfId="66" priority="66">
      <x:formula>H47&gt;'Calendar'!$B$5</x:formula>
    </x:cfRule>
  </x:conditionalFormatting>
  <x:conditionalFormatting sqref="I47:I47">
    <x:cfRule type="expression" dxfId="67" priority="67">
      <x:formula>I47&gt;'Calendar'!$B$5</x:formula>
    </x:cfRule>
  </x:conditionalFormatting>
  <x:conditionalFormatting sqref="J47:J47">
    <x:cfRule type="expression" dxfId="68" priority="68">
      <x:formula>J47&gt;'Calendar'!$B$5</x:formula>
    </x:cfRule>
  </x:conditionalFormatting>
  <x:conditionalFormatting sqref="K47:K47">
    <x:cfRule type="expression" dxfId="69" priority="69">
      <x:formula>K47&gt;'Calendar'!$B$5</x:formula>
    </x:cfRule>
  </x:conditionalFormatting>
  <x:conditionalFormatting sqref="L47:L47">
    <x:cfRule type="expression" dxfId="70" priority="70">
      <x:formula>L47&gt;'Calendar'!$B$5</x:formula>
    </x:cfRule>
  </x:conditionalFormatting>
  <x:conditionalFormatting sqref="M47:M47">
    <x:cfRule type="expression" dxfId="71" priority="71">
      <x:formula>M47&gt;'Calendar'!$B$5</x:formula>
    </x:cfRule>
  </x:conditionalFormatting>
  <x:conditionalFormatting sqref="N47:N47">
    <x:cfRule type="expression" dxfId="72" priority="72">
      <x:formula>N47&gt;'Calendar'!$B$5</x:formula>
    </x:cfRule>
  </x:conditionalFormatting>
  <x:conditionalFormatting sqref="O47:O47">
    <x:cfRule type="expression" dxfId="73" priority="73">
      <x:formula>O47&gt;'Calendar'!$B$5</x:formula>
    </x:cfRule>
  </x:conditionalFormatting>
  <x:conditionalFormatting sqref="P47:P47">
    <x:cfRule type="expression" dxfId="74" priority="74">
      <x:formula>P47&gt;'Calendar'!$B$5</x:formula>
    </x:cfRule>
  </x:conditionalFormatting>
  <x:conditionalFormatting sqref="Q47:Q47">
    <x:cfRule type="expression" dxfId="75" priority="75">
      <x:formula>Q47&gt;'Calendar'!$B$5</x:formula>
    </x:cfRule>
  </x:conditionalFormatting>
  <x:conditionalFormatting sqref="R47:R47">
    <x:cfRule type="expression" dxfId="76" priority="76">
      <x:formula>R47&gt;'Calendar'!$B$5</x:formula>
    </x:cfRule>
  </x:conditionalFormatting>
  <x:conditionalFormatting sqref="S47:S47">
    <x:cfRule type="expression" dxfId="77" priority="77">
      <x:formula>S47&gt;'Calendar'!$B$5</x:formula>
    </x:cfRule>
  </x:conditionalFormatting>
  <x:conditionalFormatting sqref="T47:T47">
    <x:cfRule type="expression" dxfId="78" priority="78">
      <x:formula>T47&gt;'Calendar'!$B$5</x:formula>
    </x:cfRule>
  </x:conditionalFormatting>
  <x:conditionalFormatting sqref="U47:U47">
    <x:cfRule type="expression" dxfId="79" priority="79">
      <x:formula>U47&gt;'Calendar'!$B$5</x:formula>
    </x:cfRule>
  </x:conditionalFormatting>
  <x:conditionalFormatting sqref="V47:V47">
    <x:cfRule type="expression" dxfId="80" priority="80">
      <x:formula>V47&gt;'Calendar'!$B$5</x:formula>
    </x:cfRule>
  </x:conditionalFormatting>
  <x:conditionalFormatting sqref="W47:W47">
    <x:cfRule type="expression" dxfId="81" priority="81">
      <x:formula>W47&gt;'Calendar'!$B$5</x:formula>
    </x:cfRule>
  </x:conditionalFormatting>
  <x:conditionalFormatting sqref="X47:X47">
    <x:cfRule type="expression" dxfId="82" priority="82">
      <x:formula>X47&gt;'Calendar'!$B$5</x:formula>
    </x:cfRule>
  </x:conditionalFormatting>
  <x:conditionalFormatting sqref="Y47:Y47">
    <x:cfRule type="expression" dxfId="83" priority="83">
      <x:formula>Y47&gt;'Calendar'!$B$5</x:formula>
    </x:cfRule>
  </x:conditionalFormatting>
  <x:conditionalFormatting sqref="Z47:Z47">
    <x:cfRule type="expression" dxfId="84" priority="84">
      <x:formula>Z47&gt;'Calendar'!$B$5</x:formula>
    </x:cfRule>
  </x:conditionalFormatting>
  <x:conditionalFormatting sqref="AA47:AA47">
    <x:cfRule type="expression" dxfId="85" priority="85">
      <x:formula>AA47&gt;'Calendar'!$B$5</x:formula>
    </x:cfRule>
  </x:conditionalFormatting>
  <x:conditionalFormatting sqref="AB47:AB47">
    <x:cfRule type="expression" dxfId="86" priority="86">
      <x:formula>AB47&gt;'Calendar'!$B$5</x:formula>
    </x:cfRule>
  </x:conditionalFormatting>
  <x:conditionalFormatting sqref="AC47:AC47">
    <x:cfRule type="expression" dxfId="87" priority="87">
      <x:formula>AC47&gt;'Calendar'!$B$5</x:formula>
    </x:cfRule>
  </x:conditionalFormatting>
  <x:conditionalFormatting sqref="AD47:AD47">
    <x:cfRule type="expression" dxfId="88" priority="88">
      <x:formula>AD47&gt;'Calendar'!$B$5</x:formula>
    </x:cfRule>
  </x:conditionalFormatting>
  <x:conditionalFormatting sqref="AE47:AE47">
    <x:cfRule type="expression" dxfId="89" priority="89">
      <x:formula>AE47&gt;'Calendar'!$B$5</x:formula>
    </x:cfRule>
  </x:conditionalFormatting>
  <x:conditionalFormatting sqref="AF47:AF47">
    <x:cfRule type="expression" dxfId="90" priority="90">
      <x:formula>AF47&gt;'Calendar'!$B$5</x:formula>
    </x:cfRule>
  </x:conditionalFormatting>
  <x:conditionalFormatting sqref="AG47:AG47">
    <x:cfRule type="expression" dxfId="91" priority="91">
      <x:formula>AG47&gt;'Calendar'!$B$5</x:formula>
    </x:cfRule>
  </x:conditionalFormatting>
  <x:conditionalFormatting sqref="AH47:AH47">
    <x:cfRule type="expression" dxfId="92" priority="92">
      <x:formula>AH47&gt;'Calendar'!$B$5</x:formula>
    </x:cfRule>
  </x:conditionalFormatting>
  <x:conditionalFormatting sqref="AI47:AI47">
    <x:cfRule type="expression" dxfId="93" priority="93">
      <x:formula>AI47&gt;'Calendar'!$B$5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20" hidden="0" customWidth="1"/>
    <x:col min="4" max="4" width="65" hidden="0" customWidth="1"/>
  </x:cols>
  <x:sheetData>
    <x:row r="2" ht="45" customHeight="1">
      <x:c r="A2" s="8" t="str">
        <x:v>P10 — Lịch nguồn lực</x:v>
      </x:c>
      <x:c r="B2" s="6"/>
      <x:c r="C2" s="6"/>
      <x:c r="D2" s="6"/>
    </x:row>
    <x:row r="3" ht="45" customHeight="1">
      <x:c r="A3" s="6" t="str">
        <x:v>Tham số</x:v>
      </x:c>
      <x:c r="B3" s="6" t="str">
        <x:v>Giá trị</x:v>
      </x:c>
      <x:c r="C3" s="6" t="str">
        <x:v>Đơn vị</x:v>
      </x:c>
      <x:c r="D3" s="6" t="str">
        <x:v>Căn cứ</x:v>
      </x:c>
    </x:row>
    <x:row r="4" ht="45" customHeight="1">
      <x:c r="A4" s="6" t="str">
        <x:v>Ngày bắt đầu forecast</x:v>
      </x:c>
      <x:c r="B4" s="11" t="n">
        <x:v>46289</x:v>
      </x:c>
      <x:c r="C4" s="6" t="str">
        <x:v>Ngày</x:v>
      </x:c>
      <x:c r="D4" s="6" t="str">
        <x:v>Kịch bản toàn bộ WP từ ngày này; chưa là ETC vì thiếu actual</x:v>
      </x:c>
    </x:row>
    <x:row r="5" ht="45" customHeight="1">
      <x:c r="A5" s="6" t="str">
        <x:v>Giờ mỗi người mỗi tuần</x:v>
      </x:c>
      <x:c r="B5" s="13" t="n">
        <x:v>10</x:v>
      </x:c>
      <x:c r="C5" s="6" t="str">
        <x:v>Giờ/tuần</x:v>
      </x:c>
      <x:c r="D5" s="6" t="str">
        <x:v>DEC-008; chưa là xác nhận giờ khả dụng</x:v>
      </x:c>
    </x:row>
    <x:row r="6" ht="45" customHeight="1">
      <x:c r="A6" s="6" t="str">
        <x:v>Số ngày làm mỗi tuần</x:v>
      </x:c>
      <x:c r="B6" s="13" t="n">
        <x:v>5</x:v>
      </x:c>
      <x:c r="C6" s="6" t="str">
        <x:v>Ngày</x:v>
      </x:c>
      <x:c r="D6" s="6" t="str">
        <x:v>Thứ Hai–Thứ Sáu; chưa đưa ngày lễ</x:v>
      </x:c>
    </x:row>
    <x:row r="7" ht="45" customHeight="1">
      <x:c r="A7" s="6" t="str">
        <x:v>Giờ mỗi người mỗi ngày</x:v>
      </x:c>
      <x:c r="B7" s="6" t="n">
        <x:f>B5/B6</x:f>
        <x:v>2</x:v>
      </x:c>
      <x:c r="C7" s="6" t="str">
        <x:v>Giờ/ngày</x:v>
      </x:c>
      <x:c r="D7" s="6" t="str">
        <x:v>Năng lực trải đều cho mô hình</x:v>
      </x:c>
    </x:row>
    <x:row r="8" ht="45" customHeight="1">
      <x:c r="A8" s="6" t="str">
        <x:v>Ngày chốt hồ sơ</x:v>
      </x:c>
      <x:c r="B8" s="7" t="n">
        <x:v>46302</x:v>
      </x:c>
      <x:c r="C8" s="6" t="str">
        <x:v>Ngày</x:v>
      </x:c>
      <x:c r="D8" s="6" t="str">
        <x:v>DOC-05, tách khỏi tiến độ toàn sản phẩm</x:v>
      </x:c>
    </x:row>
    <x:row r="9" ht="45" customHeight="1">
      <x:c r="A9" s="6" t="str">
        <x:v>Baseline schedule</x:v>
      </x:c>
      <x:c r="B9" s="6" t="str">
        <x:v>Chưa phê duyệt</x:v>
      </x:c>
      <x:c r="C9" s="6"/>
      <x:c r="D9" s="6" t="str">
        <x:v>Forecast khác baseline và actual</x:v>
      </x:c>
    </x:row>
  </x:sheetData>
  <x:pageMargins left="0.7" right="0.7" top="0.75" bottom="0.75" header="0.3" footer="0.3"/>
</x:worksheet>
</file>