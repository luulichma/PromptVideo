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59ecaff32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CI" sheetId="1" r:id="R4b87067bbe0a42a5"/>
    <x:sheet xmlns:r="http://schemas.openxmlformats.org/officeDocument/2006/relationships" name="Resource_Needs" sheetId="2" r:id="R82d948d2299840f4"/>
    <x:sheet xmlns:r="http://schemas.openxmlformats.org/officeDocument/2006/relationships" name="Resource_Calendar" sheetId="3" r:id="Reca2c50c75934e58"/>
    <x:sheet xmlns:r="http://schemas.openxmlformats.org/officeDocument/2006/relationships" name="Communication" sheetId="4" r:id="R11bb89590651498f"/>
    <x:sheet xmlns:r="http://schemas.openxmlformats.org/officeDocument/2006/relationships" name="Stakeholder_Engagement" sheetId="5" r:id="R2a667508c4cc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–&quot;"/>
    <x:numFmt numFmtId="201" formatCode="0.00"/>
    <x:numFmt numFmtId="202" formatCode="dd/mm/yyyy"/>
  </x:numFmts>
  <x:fonts count="6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E"/>
      </x:patternFill>
    </x:fill>
    <x:fill>
      <x:patternFill patternType="solid">
        <x:fgColor rgb="FFFFF2D5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A52132"/>
      </x:font>
      <x:fill>
        <x:patternFill patternType="solid">
          <x:bgColor rgb="FFFC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8a3d6c6b74fd0" /><Relationship Type="http://schemas.openxmlformats.org/officeDocument/2006/relationships/theme" Target="/xl/theme/theme1.xml" Id="Rdc8460388f034872" /><Relationship Type="http://schemas.openxmlformats.org/officeDocument/2006/relationships/sharedStrings" Target="/xl/sharedStrings.xml" Id="R212184c89b844f9f" /><Relationship Type="http://schemas.openxmlformats.org/officeDocument/2006/relationships/worksheet" Target="/xl/worksheets/sheet1.xml" Id="R4b87067bbe0a42a5" /><Relationship Type="http://schemas.openxmlformats.org/officeDocument/2006/relationships/worksheet" Target="/xl/worksheets/sheet2.xml" Id="R82d948d2299840f4" /><Relationship Type="http://schemas.openxmlformats.org/officeDocument/2006/relationships/worksheet" Target="/xl/worksheets/sheet3.xml" Id="Reca2c50c75934e58" /><Relationship Type="http://schemas.openxmlformats.org/officeDocument/2006/relationships/worksheet" Target="/xl/worksheets/sheet4.xml" Id="R11bb89590651498f" /><Relationship Type="http://schemas.openxmlformats.org/officeDocument/2006/relationships/worksheet" Target="/xl/worksheets/sheet5.xml" Id="R2a667508c4cc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50" hidden="0" customWidth="1"/>
    <x:col min="3" max="3" width="17" hidden="0" customWidth="1"/>
    <x:col min="4" max="4" width="17" hidden="0" customWidth="1"/>
    <x:col min="5" max="5" width="17" hidden="0" customWidth="1"/>
    <x:col min="6" max="6" width="21" hidden="0" customWidth="1"/>
    <x:col min="7" max="7" width="23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P12 — Ma trận trách nhiệm</x:v>
      </x:c>
      <x:c r="B2" s="2"/>
      <x:c r="C2" s="2"/>
      <x:c r="D2" s="2"/>
      <x:c r="E2" s="2"/>
      <x:c r="F2" s="2"/>
      <x:c r="G2" s="2"/>
      <x:c r="H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</x:row>
    <x:row r="5">
      <x:c r="A5" s="2" t="str">
        <x:v>A/R cùng một ô vẫn là đúng một Accountable. Vòng A/B/C theo DEC-002; không phải quyền nghiệm thu sản phẩm.</x:v>
      </x:c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10" t="str">
        <x:v>WBS</x:v>
      </x:c>
      <x:c r="B7" s="11" t="str">
        <x:v>Đầu việc</x:v>
      </x:c>
      <x:c r="C7" s="11" t="str">
        <x:v>Chiến</x:v>
      </x:c>
      <x:c r="D7" s="11" t="str">
        <x:v>Việt Quang</x:v>
      </x:c>
      <x:c r="E7" s="11" t="str">
        <x:v>Quang Anh</x:v>
      </x:c>
      <x:c r="F7" s="11" t="str">
        <x:v>Người kiểm</x:v>
      </x:c>
      <x:c r="G7" s="11" t="str">
        <x:v>Xác nhận nội bộ</x:v>
      </x:c>
      <x:c r="H7" s="12" t="str">
        <x:v>Số Accountable</x:v>
      </x:c>
    </x:row>
    <x:row r="8" ht="65" customHeight="1">
      <x:c r="A8" s="9" t="str">
        <x:v>1.1</x:v>
      </x:c>
      <x:c r="B8" s="9" t="str">
        <x:v>Bộ hồ sơ khởi tạo</x:v>
      </x:c>
      <x:c r="C8" s="9" t="str">
        <x:v>A/R</x:v>
      </x:c>
      <x:c r="D8" s="9" t="str">
        <x:v>C</x:v>
      </x:c>
      <x:c r="E8" s="9" t="str">
        <x:v>C</x:v>
      </x:c>
      <x:c r="F8" s="9" t="str">
        <x:v>Việt Quang</x:v>
      </x:c>
      <x:c r="G8" s="9" t="str">
        <x:v>Quang Anh</x:v>
      </x:c>
      <x:c r="H8" s="13" t="n">
        <x:f>COUNTIFS(C8:E8,"*A*")</x:f>
        <x:v>0</x:v>
      </x:c>
    </x:row>
    <x:row r="9" ht="65" customHeight="1">
      <x:c r="A9" s="9" t="str">
        <x:v>1.2</x:v>
      </x:c>
      <x:c r="B9" s="9" t="str">
        <x:v>Kế hoạch quản lý dự án</x:v>
      </x:c>
      <x:c r="C9" s="9" t="str">
        <x:v>A/R</x:v>
      </x:c>
      <x:c r="D9" s="9" t="str">
        <x:v>C</x:v>
      </x:c>
      <x:c r="E9" s="9" t="str">
        <x:v>C</x:v>
      </x:c>
      <x:c r="F9" s="9" t="str">
        <x:v>Việt Quang</x:v>
      </x:c>
      <x:c r="G9" s="9" t="str">
        <x:v>Quang Anh</x:v>
      </x:c>
      <x:c r="H9" s="13" t="n">
        <x:f>COUNTIFS(C9:E9,"*A*")</x:f>
        <x:v>0</x:v>
      </x:c>
    </x:row>
    <x:row r="10" ht="65" customHeight="1">
      <x:c r="A10" s="9" t="str">
        <x:v>1.3</x:v>
      </x:c>
      <x:c r="B10" s="9" t="str">
        <x:v>Báo cáo theo dõi và kiểm soát</x:v>
      </x:c>
      <x:c r="C10" s="9" t="str">
        <x:v>C</x:v>
      </x:c>
      <x:c r="D10" s="9" t="str">
        <x:v>A/R</x:v>
      </x:c>
      <x:c r="E10" s="9" t="str">
        <x:v>C</x:v>
      </x:c>
      <x:c r="F10" s="9" t="str">
        <x:v>Quang Anh</x:v>
      </x:c>
      <x:c r="G10" s="9" t="str">
        <x:v>Chiến</x:v>
      </x:c>
      <x:c r="H10" s="13" t="n">
        <x:f>COUNTIFS(C10:E10,"*A*")</x:f>
        <x:v>0</x:v>
      </x:c>
    </x:row>
    <x:row r="11" ht="65" customHeight="1">
      <x:c r="A11" s="9" t="str">
        <x:v>2.1</x:v>
      </x:c>
      <x:c r="B11" s="9" t="str">
        <x:v>Đặc tả yêu cầu phần mềm</x:v>
      </x:c>
      <x:c r="C11" s="9" t="str">
        <x:v>A/R</x:v>
      </x:c>
      <x:c r="D11" s="9" t="str">
        <x:v>C</x:v>
      </x:c>
      <x:c r="E11" s="9" t="str">
        <x:v>C</x:v>
      </x:c>
      <x:c r="F11" s="9" t="str">
        <x:v>Việt Quang</x:v>
      </x:c>
      <x:c r="G11" s="9" t="str">
        <x:v>Quang Anh</x:v>
      </x:c>
      <x:c r="H11" s="13" t="n">
        <x:f>COUNTIFS(C11:E11,"*A*")</x:f>
        <x:v>0</x:v>
      </x:c>
    </x:row>
    <x:row r="12" ht="65" customHeight="1">
      <x:c r="A12" s="9" t="str">
        <x:v>2.2</x:v>
      </x:c>
      <x:c r="B12" s="9" t="str">
        <x:v>Ma trận truy vết yêu cầu</x:v>
      </x:c>
      <x:c r="C12" s="9" t="str">
        <x:v>A/R</x:v>
      </x:c>
      <x:c r="D12" s="9" t="str">
        <x:v>C</x:v>
      </x:c>
      <x:c r="E12" s="9" t="str">
        <x:v>C</x:v>
      </x:c>
      <x:c r="F12" s="9" t="str">
        <x:v>Việt Quang</x:v>
      </x:c>
      <x:c r="G12" s="9" t="str">
        <x:v>Quang Anh</x:v>
      </x:c>
      <x:c r="H12" s="13" t="n">
        <x:f>COUNTIFS(C12:E12,"*A*")</x:f>
        <x:v>0</x:v>
      </x:c>
    </x:row>
    <x:row r="13" ht="65" customHeight="1">
      <x:c r="A13" s="9" t="str">
        <x:v>3.1</x:v>
      </x:c>
      <x:c r="B13" s="9" t="str">
        <x:v>Kiến trúc và nguyên mẫu mã hóa</x:v>
      </x:c>
      <x:c r="C13" s="9" t="str">
        <x:v>A/R</x:v>
      </x:c>
      <x:c r="D13" s="9" t="str">
        <x:v>C</x:v>
      </x:c>
      <x:c r="E13" s="9" t="str">
        <x:v>C</x:v>
      </x:c>
      <x:c r="F13" s="9" t="str">
        <x:v>Việt Quang</x:v>
      </x:c>
      <x:c r="G13" s="9" t="str">
        <x:v>Quang Anh</x:v>
      </x:c>
      <x:c r="H13" s="13" t="n">
        <x:f>COUNTIFS(C13:E13,"*A*")</x:f>
        <x:v>0</x:v>
      </x:c>
    </x:row>
    <x:row r="14" ht="65" customHeight="1">
      <x:c r="A14" s="9" t="str">
        <x:v>3.2</x:v>
      </x:c>
      <x:c r="B14" s="9" t="str">
        <x:v>Đặc tả giao tiếp và schema dự án</x:v>
      </x:c>
      <x:c r="C14" s="9" t="str">
        <x:v>A/R</x:v>
      </x:c>
      <x:c r="D14" s="9" t="str">
        <x:v>C</x:v>
      </x:c>
      <x:c r="E14" s="9" t="str">
        <x:v>C</x:v>
      </x:c>
      <x:c r="F14" s="9" t="str">
        <x:v>Việt Quang</x:v>
      </x:c>
      <x:c r="G14" s="9" t="str">
        <x:v>Quang Anh</x:v>
      </x:c>
      <x:c r="H14" s="13" t="n">
        <x:f>COUNTIFS(C14:E14,"*A*")</x:f>
        <x:v>0</x:v>
      </x:c>
    </x:row>
    <x:row r="15" ht="65" customHeight="1">
      <x:c r="A15" s="9" t="str">
        <x:v>4.1</x:v>
      </x:c>
      <x:c r="B15" s="9" t="str">
        <x:v>Nền tảng mã nguồn và CI</x:v>
      </x:c>
      <x:c r="C15" s="9" t="str">
        <x:v>C</x:v>
      </x:c>
      <x:c r="D15" s="9" t="str">
        <x:v>A/R</x:v>
      </x:c>
      <x:c r="E15" s="9" t="str">
        <x:v>C</x:v>
      </x:c>
      <x:c r="F15" s="9" t="str">
        <x:v>Quang Anh</x:v>
      </x:c>
      <x:c r="G15" s="9" t="str">
        <x:v>Chiến</x:v>
      </x:c>
      <x:c r="H15" s="13" t="n">
        <x:f>COUNTIFS(C15:E15,"*A*")</x:f>
        <x:v>0</x:v>
      </x:c>
    </x:row>
    <x:row r="16" ht="65" customHeight="1">
      <x:c r="A16" s="9" t="str">
        <x:v>4.2.1</x:v>
      </x:c>
      <x:c r="B16" s="9" t="str">
        <x:v>Trình soạn thảo nội dung</x:v>
      </x:c>
      <x:c r="C16" s="9" t="str">
        <x:v>A/R</x:v>
      </x:c>
      <x:c r="D16" s="9" t="str">
        <x:v>C</x:v>
      </x:c>
      <x:c r="E16" s="9" t="str">
        <x:v>C</x:v>
      </x:c>
      <x:c r="F16" s="9" t="str">
        <x:v>Việt Quang</x:v>
      </x:c>
      <x:c r="G16" s="9" t="str">
        <x:v>Quang Anh</x:v>
      </x:c>
      <x:c r="H16" s="13" t="n">
        <x:f>COUNTIFS(C16:E16,"*A*")</x:f>
        <x:v>0</x:v>
      </x:c>
    </x:row>
    <x:row r="17" ht="65" customHeight="1">
      <x:c r="A17" s="9" t="str">
        <x:v>4.2.2</x:v>
      </x:c>
      <x:c r="B17" s="9" t="str">
        <x:v>Thư viện năm mẫu trình chiếu</x:v>
      </x:c>
      <x:c r="C17" s="9" t="str">
        <x:v>A/R</x:v>
      </x:c>
      <x:c r="D17" s="9" t="str">
        <x:v>C</x:v>
      </x:c>
      <x:c r="E17" s="9" t="str">
        <x:v>C</x:v>
      </x:c>
      <x:c r="F17" s="9" t="str">
        <x:v>Việt Quang</x:v>
      </x:c>
      <x:c r="G17" s="9" t="str">
        <x:v>Quang Anh</x:v>
      </x:c>
      <x:c r="H17" s="13" t="n">
        <x:f>COUNTIFS(C17:E17,"*A*")</x:f>
        <x:v>0</x:v>
      </x:c>
    </x:row>
    <x:row r="18" ht="65" customHeight="1">
      <x:c r="A18" s="9" t="str">
        <x:v>4.2.3</x:v>
      </x:c>
      <x:c r="B18" s="9" t="str">
        <x:v>Bộ dựng và xem trước</x:v>
      </x:c>
      <x:c r="C18" s="9" t="str">
        <x:v>A/R</x:v>
      </x:c>
      <x:c r="D18" s="9" t="str">
        <x:v>C</x:v>
      </x:c>
      <x:c r="E18" s="9" t="str">
        <x:v>C</x:v>
      </x:c>
      <x:c r="F18" s="9" t="str">
        <x:v>Việt Quang</x:v>
      </x:c>
      <x:c r="G18" s="9" t="str">
        <x:v>Quang Anh</x:v>
      </x:c>
      <x:c r="H18" s="13" t="n">
        <x:f>COUNTIFS(C18:E18,"*A*")</x:f>
        <x:v>0</x:v>
      </x:c>
    </x:row>
    <x:row r="19" ht="65" customHeight="1">
      <x:c r="A19" s="9" t="str">
        <x:v>4.2.4</x:v>
      </x:c>
      <x:c r="B19" s="9" t="str">
        <x:v>Bộ xuất MP4 theo luồng</x:v>
      </x:c>
      <x:c r="C19" s="9" t="str">
        <x:v>A/R</x:v>
      </x:c>
      <x:c r="D19" s="9" t="str">
        <x:v>C</x:v>
      </x:c>
      <x:c r="E19" s="9" t="str">
        <x:v>C</x:v>
      </x:c>
      <x:c r="F19" s="9" t="str">
        <x:v>Việt Quang</x:v>
      </x:c>
      <x:c r="G19" s="9" t="str">
        <x:v>Quang Anh</x:v>
      </x:c>
      <x:c r="H19" s="13" t="n">
        <x:f>COUNTIFS(C19:E19,"*A*")</x:f>
        <x:v>0</x:v>
      </x:c>
    </x:row>
    <x:row r="20" ht="65" customHeight="1">
      <x:c r="A20" s="9" t="str">
        <x:v>4.2.5</x:v>
      </x:c>
      <x:c r="B20" s="9" t="str">
        <x:v>Kho dự án cục bộ</x:v>
      </x:c>
      <x:c r="C20" s="9" t="str">
        <x:v>A/R</x:v>
      </x:c>
      <x:c r="D20" s="9" t="str">
        <x:v>C</x:v>
      </x:c>
      <x:c r="E20" s="9" t="str">
        <x:v>C</x:v>
      </x:c>
      <x:c r="F20" s="9" t="str">
        <x:v>Việt Quang</x:v>
      </x:c>
      <x:c r="G20" s="9" t="str">
        <x:v>Quang Anh</x:v>
      </x:c>
      <x:c r="H20" s="13" t="n">
        <x:f>COUNTIFS(C20:E20,"*A*")</x:f>
        <x:v>0</x:v>
      </x:c>
    </x:row>
    <x:row r="21" ht="65" customHeight="1">
      <x:c r="A21" s="9" t="str">
        <x:v>4.2.6</x:v>
      </x:c>
      <x:c r="B21" s="9" t="str">
        <x:v>Kiểm quyền xuất và danh mục mẫu</x:v>
      </x:c>
      <x:c r="C21" s="9" t="str">
        <x:v>A/R</x:v>
      </x:c>
      <x:c r="D21" s="9" t="str">
        <x:v>C</x:v>
      </x:c>
      <x:c r="E21" s="9" t="str">
        <x:v>C</x:v>
      </x:c>
      <x:c r="F21" s="9" t="str">
        <x:v>Việt Quang</x:v>
      </x:c>
      <x:c r="G21" s="9" t="str">
        <x:v>Quang Anh</x:v>
      </x:c>
      <x:c r="H21" s="13" t="n">
        <x:f>COUNTIFS(C21:E21,"*A*")</x:f>
        <x:v>0</x:v>
      </x:c>
    </x:row>
    <x:row r="22" ht="65" customHeight="1">
      <x:c r="A22" s="9" t="str">
        <x:v>4.2.7</x:v>
      </x:c>
      <x:c r="B22" s="9" t="str">
        <x:v>Tạm dừng xuất và cảnh báo trình duyệt</x:v>
      </x:c>
      <x:c r="C22" s="9" t="str">
        <x:v>A/R</x:v>
      </x:c>
      <x:c r="D22" s="9" t="str">
        <x:v>C</x:v>
      </x:c>
      <x:c r="E22" s="9" t="str">
        <x:v>C</x:v>
      </x:c>
      <x:c r="F22" s="9" t="str">
        <x:v>Việt Quang</x:v>
      </x:c>
      <x:c r="G22" s="9" t="str">
        <x:v>Quang Anh</x:v>
      </x:c>
      <x:c r="H22" s="13" t="n">
        <x:f>COUNTIFS(C22:E22,"*A*")</x:f>
        <x:v>0</x:v>
      </x:c>
    </x:row>
    <x:row r="23" ht="65" customHeight="1">
      <x:c r="A23" s="9" t="str">
        <x:v>4.3.1</x:v>
      </x:c>
      <x:c r="B23" s="9" t="str">
        <x:v>Mô-đun tài khoản và xác thực</x:v>
      </x:c>
      <x:c r="C23" s="9" t="str">
        <x:v>C</x:v>
      </x:c>
      <x:c r="D23" s="9" t="str">
        <x:v>A/R</x:v>
      </x:c>
      <x:c r="E23" s="9" t="str">
        <x:v>C</x:v>
      </x:c>
      <x:c r="F23" s="9" t="str">
        <x:v>Quang Anh</x:v>
      </x:c>
      <x:c r="G23" s="9" t="str">
        <x:v>Chiến</x:v>
      </x:c>
      <x:c r="H23" s="13" t="n">
        <x:f>COUNTIFS(C23:E23,"*A*")</x:f>
        <x:v>0</x:v>
      </x:c>
    </x:row>
    <x:row r="24" ht="65" customHeight="1">
      <x:c r="A24" s="9" t="str">
        <x:v>4.3.2</x:v>
      </x:c>
      <x:c r="B24" s="9" t="str">
        <x:v>Mô-đun giấy phép và hạn mức</x:v>
      </x:c>
      <x:c r="C24" s="9" t="str">
        <x:v>C</x:v>
      </x:c>
      <x:c r="D24" s="9" t="str">
        <x:v>A/R</x:v>
      </x:c>
      <x:c r="E24" s="9" t="str">
        <x:v>C</x:v>
      </x:c>
      <x:c r="F24" s="9" t="str">
        <x:v>Quang Anh</x:v>
      </x:c>
      <x:c r="G24" s="9" t="str">
        <x:v>Chiến</x:v>
      </x:c>
      <x:c r="H24" s="13" t="n">
        <x:f>COUNTIFS(C24:E24,"*A*")</x:f>
        <x:v>0</x:v>
      </x:c>
    </x:row>
    <x:row r="25" ht="65" customHeight="1">
      <x:c r="A25" s="9" t="str">
        <x:v>4.3.3</x:v>
      </x:c>
      <x:c r="B25" s="9" t="str">
        <x:v>Mô-đun thanh toán và gia hạn</x:v>
      </x:c>
      <x:c r="C25" s="9" t="str">
        <x:v>C</x:v>
      </x:c>
      <x:c r="D25" s="9" t="str">
        <x:v>A/R</x:v>
      </x:c>
      <x:c r="E25" s="9" t="str">
        <x:v>C</x:v>
      </x:c>
      <x:c r="F25" s="9" t="str">
        <x:v>Quang Anh</x:v>
      </x:c>
      <x:c r="G25" s="9" t="str">
        <x:v>Chiến</x:v>
      </x:c>
      <x:c r="H25" s="13" t="n">
        <x:f>COUNTIFS(C25:E25,"*A*")</x:f>
        <x:v>0</x:v>
      </x:c>
    </x:row>
    <x:row r="26" ht="65" customHeight="1">
      <x:c r="A26" s="9" t="str">
        <x:v>4.3.4</x:v>
      </x:c>
      <x:c r="B26" s="9" t="str">
        <x:v>Trang quản lý thuê bao</x:v>
      </x:c>
      <x:c r="C26" s="9" t="str">
        <x:v>C</x:v>
      </x:c>
      <x:c r="D26" s="9" t="str">
        <x:v>A/R</x:v>
      </x:c>
      <x:c r="E26" s="9" t="str">
        <x:v>C</x:v>
      </x:c>
      <x:c r="F26" s="9" t="str">
        <x:v>Quang Anh</x:v>
      </x:c>
      <x:c r="G26" s="9" t="str">
        <x:v>Chiến</x:v>
      </x:c>
      <x:c r="H26" s="13" t="n">
        <x:f>COUNTIFS(C26:E26,"*A*")</x:f>
        <x:v>0</x:v>
      </x:c>
    </x:row>
    <x:row r="27" ht="65" customHeight="1">
      <x:c r="A27" s="9" t="str">
        <x:v>4.3.5</x:v>
      </x:c>
      <x:c r="B27" s="9" t="str">
        <x:v>Hóa đơn Doanh nghiệp</x:v>
      </x:c>
      <x:c r="C27" s="9" t="str">
        <x:v>C</x:v>
      </x:c>
      <x:c r="D27" s="9" t="str">
        <x:v>A/R</x:v>
      </x:c>
      <x:c r="E27" s="9" t="str">
        <x:v>C</x:v>
      </x:c>
      <x:c r="F27" s="9" t="str">
        <x:v>Quang Anh</x:v>
      </x:c>
      <x:c r="G27" s="9" t="str">
        <x:v>Chiến</x:v>
      </x:c>
      <x:c r="H27" s="13" t="n">
        <x:f>COUNTIFS(C27:E27,"*A*")</x:f>
        <x:v>0</x:v>
      </x:c>
    </x:row>
    <x:row r="28" ht="65" customHeight="1">
      <x:c r="A28" s="9" t="str">
        <x:v>4.3.6</x:v>
      </x:c>
      <x:c r="B28" s="9" t="str">
        <x:v>Quản lý 5 chỗ Doanh nghiệp</x:v>
      </x:c>
      <x:c r="C28" s="9" t="str">
        <x:v>C</x:v>
      </x:c>
      <x:c r="D28" s="9" t="str">
        <x:v>A/R</x:v>
      </x:c>
      <x:c r="E28" s="9" t="str">
        <x:v>C</x:v>
      </x:c>
      <x:c r="F28" s="9" t="str">
        <x:v>Quang Anh</x:v>
      </x:c>
      <x:c r="G28" s="9" t="str">
        <x:v>Chiến</x:v>
      </x:c>
      <x:c r="H28" s="13" t="n">
        <x:f>COUNTIFS(C28:E28,"*A*")</x:f>
        <x:v>0</x:v>
      </x:c>
    </x:row>
    <x:row r="29" ht="65" customHeight="1">
      <x:c r="A29" s="9" t="str">
        <x:v>4.4.1</x:v>
      </x:c>
      <x:c r="B29" s="9" t="str">
        <x:v>Danh mục mẫu và tài sản đồ họa</x:v>
      </x:c>
      <x:c r="C29" s="9" t="str">
        <x:v>C</x:v>
      </x:c>
      <x:c r="D29" s="9" t="str">
        <x:v>C</x:v>
      </x:c>
      <x:c r="E29" s="9" t="str">
        <x:v>A/R</x:v>
      </x:c>
      <x:c r="F29" s="9" t="str">
        <x:v>Chiến</x:v>
      </x:c>
      <x:c r="G29" s="9" t="str">
        <x:v>Việt Quang</x:v>
      </x:c>
      <x:c r="H29" s="13" t="n">
        <x:f>COUNTIFS(C29:E29,"*A*")</x:f>
        <x:v>0</x:v>
      </x:c>
    </x:row>
    <x:row r="30" ht="65" customHeight="1">
      <x:c r="A30" s="9" t="str">
        <x:v>4.4.2</x:v>
      </x:c>
      <x:c r="B30" s="9" t="str">
        <x:v>Hồ sơ hỗ trợ và giao tiếp điều chỉnh hạn mức</x:v>
      </x:c>
      <x:c r="C30" s="9" t="str">
        <x:v>C</x:v>
      </x:c>
      <x:c r="D30" s="9" t="str">
        <x:v>C</x:v>
      </x:c>
      <x:c r="E30" s="9" t="str">
        <x:v>A/R</x:v>
      </x:c>
      <x:c r="F30" s="9" t="str">
        <x:v>Chiến</x:v>
      </x:c>
      <x:c r="G30" s="9" t="str">
        <x:v>Việt Quang</x:v>
      </x:c>
      <x:c r="H30" s="13" t="n">
        <x:f>COUNTIFS(C30:E30,"*A*")</x:f>
        <x:v>0</x:v>
      </x:c>
    </x:row>
    <x:row r="31" ht="65" customHeight="1">
      <x:c r="A31" s="9" t="str">
        <x:v>4.4.3</x:v>
      </x:c>
      <x:c r="B31" s="9" t="str">
        <x:v>Giám sát, health và dữ liệu đo lợi ích</x:v>
      </x:c>
      <x:c r="C31" s="9" t="str">
        <x:v>C</x:v>
      </x:c>
      <x:c r="D31" s="9" t="str">
        <x:v>C</x:v>
      </x:c>
      <x:c r="E31" s="9" t="str">
        <x:v>A/R</x:v>
      </x:c>
      <x:c r="F31" s="9" t="str">
        <x:v>Chiến</x:v>
      </x:c>
      <x:c r="G31" s="9" t="str">
        <x:v>Việt Quang</x:v>
      </x:c>
      <x:c r="H31" s="13" t="n">
        <x:f>COUNTIFS(C31:E31,"*A*")</x:f>
        <x:v>0</x:v>
      </x:c>
    </x:row>
    <x:row r="32" ht="65" customHeight="1">
      <x:c r="A32" s="9" t="str">
        <x:v>4.4.4</x:v>
      </x:c>
      <x:c r="B32" s="9" t="str">
        <x:v>Giao diện quản trị</x:v>
      </x:c>
      <x:c r="C32" s="9" t="str">
        <x:v>C</x:v>
      </x:c>
      <x:c r="D32" s="9" t="str">
        <x:v>C</x:v>
      </x:c>
      <x:c r="E32" s="9" t="str">
        <x:v>A/R</x:v>
      </x:c>
      <x:c r="F32" s="9" t="str">
        <x:v>Chiến</x:v>
      </x:c>
      <x:c r="G32" s="9" t="str">
        <x:v>Việt Quang</x:v>
      </x:c>
      <x:c r="H32" s="13" t="n">
        <x:f>COUNTIFS(C32:E32,"*A*")</x:f>
        <x:v>0</x:v>
      </x:c>
    </x:row>
    <x:row r="33" ht="65" customHeight="1">
      <x:c r="A33" s="9" t="str">
        <x:v>5.1</x:v>
      </x:c>
      <x:c r="B33" s="9" t="str">
        <x:v>Bản tích hợp A–B–C và bằng chứng</x:v>
      </x:c>
      <x:c r="C33" s="9" t="str">
        <x:v>A/R</x:v>
      </x:c>
      <x:c r="D33" s="9" t="str">
        <x:v>C</x:v>
      </x:c>
      <x:c r="E33" s="9" t="str">
        <x:v>C</x:v>
      </x:c>
      <x:c r="F33" s="9" t="str">
        <x:v>Việt Quang</x:v>
      </x:c>
      <x:c r="G33" s="9" t="str">
        <x:v>Quang Anh</x:v>
      </x:c>
      <x:c r="H33" s="13" t="n">
        <x:f>COUNTIFS(C33:E33,"*A*")</x:f>
        <x:v>0</x:v>
      </x:c>
    </x:row>
    <x:row r="34" ht="65" customHeight="1">
      <x:c r="A34" s="9" t="str">
        <x:v>5.2</x:v>
      </x:c>
      <x:c r="B34" s="9" t="str">
        <x:v>Báo cáo hiệu năng và tính xác định</x:v>
      </x:c>
      <x:c r="C34" s="9" t="str">
        <x:v>A/R</x:v>
      </x:c>
      <x:c r="D34" s="9" t="str">
        <x:v>C</x:v>
      </x:c>
      <x:c r="E34" s="9" t="str">
        <x:v>C</x:v>
      </x:c>
      <x:c r="F34" s="9" t="str">
        <x:v>Việt Quang</x:v>
      </x:c>
      <x:c r="G34" s="9" t="str">
        <x:v>Quang Anh</x:v>
      </x:c>
      <x:c r="H34" s="13" t="n">
        <x:f>COUNTIFS(C34:E34,"*A*")</x:f>
        <x:v>0</x:v>
      </x:c>
    </x:row>
    <x:row r="35" ht="65" customHeight="1">
      <x:c r="A35" s="9" t="str">
        <x:v>5.3</x:v>
      </x:c>
      <x:c r="B35" s="9" t="str">
        <x:v>Báo cáo độ tin cậy, tiếng Việt và dễ dùng</x:v>
      </x:c>
      <x:c r="C35" s="9" t="str">
        <x:v>A/R</x:v>
      </x:c>
      <x:c r="D35" s="9" t="str">
        <x:v>C</x:v>
      </x:c>
      <x:c r="E35" s="9" t="str">
        <x:v>C</x:v>
      </x:c>
      <x:c r="F35" s="9" t="str">
        <x:v>Việt Quang</x:v>
      </x:c>
      <x:c r="G35" s="9" t="str">
        <x:v>Quang Anh</x:v>
      </x:c>
      <x:c r="H35" s="13" t="n">
        <x:f>COUNTIFS(C35:E35,"*A*")</x:f>
        <x:v>0</x:v>
      </x:c>
    </x:row>
    <x:row r="36" ht="65" customHeight="1">
      <x:c r="A36" s="9" t="str">
        <x:v>6.1</x:v>
      </x:c>
      <x:c r="B36" s="9" t="str">
        <x:v>Bản phát hành production</x:v>
      </x:c>
      <x:c r="C36" s="9" t="str">
        <x:v>C</x:v>
      </x:c>
      <x:c r="D36" s="9" t="str">
        <x:v>C</x:v>
      </x:c>
      <x:c r="E36" s="9" t="str">
        <x:v>A/R</x:v>
      </x:c>
      <x:c r="F36" s="9" t="str">
        <x:v>Chiến</x:v>
      </x:c>
      <x:c r="G36" s="9" t="str">
        <x:v>Việt Quang</x:v>
      </x:c>
      <x:c r="H36" s="13" t="n">
        <x:f>COUNTIFS(C36:E36,"*A*")</x:f>
        <x:v>0</x:v>
      </x:c>
    </x:row>
    <x:row r="37" ht="65" customHeight="1">
      <x:c r="A37" s="9" t="str">
        <x:v>6.2</x:v>
      </x:c>
      <x:c r="B37" s="9" t="str">
        <x:v>Gói demo và hướng dẫn sử dụng</x:v>
      </x:c>
      <x:c r="C37" s="9" t="str">
        <x:v>C</x:v>
      </x:c>
      <x:c r="D37" s="9" t="str">
        <x:v>C</x:v>
      </x:c>
      <x:c r="E37" s="9" t="str">
        <x:v>A/R</x:v>
      </x:c>
      <x:c r="F37" s="9" t="str">
        <x:v>Chiến</x:v>
      </x:c>
      <x:c r="G37" s="9" t="str">
        <x:v>Việt Quang</x:v>
      </x:c>
      <x:c r="H37" s="13" t="n">
        <x:f>COUNTIFS(C37:E37,"*A*")</x:f>
        <x:v>0</x:v>
      </x:c>
    </x:row>
    <x:row r="38" ht="65" customHeight="1">
      <x:c r="A38" s="9" t="str">
        <x:v>6.3</x:v>
      </x:c>
      <x:c r="B38" s="9" t="str">
        <x:v>Hồ sơ kết thúc và bài trình bày</x:v>
      </x:c>
      <x:c r="C38" s="9" t="str">
        <x:v>C</x:v>
      </x:c>
      <x:c r="D38" s="9" t="str">
        <x:v>C</x:v>
      </x:c>
      <x:c r="E38" s="9" t="str">
        <x:v>A/R</x:v>
      </x:c>
      <x:c r="F38" s="9" t="str">
        <x:v>Chiến</x:v>
      </x:c>
      <x:c r="G38" s="9" t="str">
        <x:v>Việt Quang</x:v>
      </x:c>
      <x:c r="H38" s="13" t="n">
        <x:f>COUNTIFS(C38:E38,"*A*")</x:f>
        <x:v>0</x:v>
      </x:c>
    </x:row>
    <x:row r="39" ht="65" customHeight="1">
      <x:c r="A39" s="9" t="str">
        <x:v>6.4</x:v>
      </x:c>
      <x:c r="B39" s="9" t="str">
        <x:v>Biên bản nghiệm thu sản phẩm</x:v>
      </x:c>
      <x:c r="C39" s="9" t="str">
        <x:v>A/R</x:v>
      </x:c>
      <x:c r="D39" s="9" t="str">
        <x:v>C</x:v>
      </x:c>
      <x:c r="E39" s="9" t="str">
        <x:v>C</x:v>
      </x:c>
      <x:c r="F39" s="9" t="str">
        <x:v>Việt Quang</x:v>
      </x:c>
      <x:c r="G39" s="9" t="str">
        <x:v>Quang Anh</x:v>
      </x:c>
      <x:c r="H39" s="13" t="n">
        <x:f>COUNTIFS(C39:E39,"*A*")</x:f>
        <x:v>0</x:v>
      </x:c>
    </x:row>
  </x:sheetData>
  <x:conditionalFormatting sqref="H8:H39">
    <x:cfRule type="expression" dxfId="0" priority="1">
      <x:formula>$H8&lt;&gt;1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1" hidden="0" customWidth="1"/>
    <x:col min="2" max="2" width="55" hidden="0" customWidth="1"/>
    <x:col min="3" max="3" width="20" hidden="0" customWidth="1"/>
    <x:col min="4" max="4" width="20" hidden="0" customWidth="1"/>
    <x:col min="5" max="5" width="50" hidden="0" customWidth="1"/>
    <x:col min="6" max="6" width="5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P12 — Nhu cầu nguồn lực</x:v>
      </x:c>
      <x:c r="B2" s="2"/>
      <x:c r="C2" s="2"/>
      <x:c r="D2" s="2"/>
      <x:c r="E2" s="2"/>
      <x:c r="F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40" customHeight="1">
      <x:c r="A7" s="10" t="str">
        <x:v>Người</x:v>
      </x:c>
      <x:c r="B7" s="11" t="str">
        <x:v>Vai trò</x:v>
      </x:c>
      <x:c r="C7" s="11" t="str">
        <x:v>Giờ WP dự kiến</x:v>
      </x:c>
      <x:c r="D7" s="11" t="str">
        <x:v>Giờ PP sơ bộ</x:v>
      </x:c>
      <x:c r="E7" s="11" t="str">
        <x:v>Thiết bị / môi trường</x:v>
      </x:c>
      <x:c r="F7" s="12" t="str">
        <x:v>Nhu cầu còn thiếu</x:v>
      </x:c>
    </x:row>
    <x:row r="8" ht="95" customHeight="1">
      <x:c r="A8" s="9" t="str">
        <x:v>Chiến</x:v>
      </x:c>
      <x:c r="B8" s="9" t="str">
        <x:v>Module A; điều phối, PMP, phạm vi</x:v>
      </x:c>
      <x:c r="C8" s="14" t="n">
        <x:v>248.33333333333334</x:v>
      </x:c>
      <x:c r="D8" s="14" t="n">
        <x:v>68</x:v>
      </x:c>
      <x:c r="E8" s="9" t="str">
        <x:v>Máy cá nhân, trình duyệt Chromium, .NET/PostgreSQL cho API</x:v>
      </x:c>
      <x:c r="F8" s="9" t="str">
        <x:v>Xác nhận giờ khả dụng và cấu hình đo trước khi nhận lịch</x:v>
      </x:c>
    </x:row>
    <x:row r="9" ht="95" customHeight="1">
      <x:c r="A9" s="9" t="str">
        <x:v>Việt Quang</x:v>
      </x:c>
      <x:c r="B9" s="9" t="str">
        <x:v>Module B; lịch, ngân sách, rủi ro</x:v>
      </x:c>
      <x:c r="C9" s="14" t="n">
        <x:v>120.66666666666667</x:v>
      </x:c>
      <x:c r="D9" s="14" t="n">
        <x:v>48</x:v>
      </x:c>
      <x:c r="E9" s="9" t="str">
        <x:v>Máy cá nhân, trình duyệt Chromium, .NET/PostgreSQL cho API</x:v>
      </x:c>
      <x:c r="F9" s="9" t="str">
        <x:v>Xác nhận giờ khả dụng và cấu hình đo trước khi nhận lịch</x:v>
      </x:c>
    </x:row>
    <x:row r="10" ht="95" customHeight="1">
      <x:c r="A10" s="9" t="str">
        <x:v>Quang Anh</x:v>
      </x:c>
      <x:c r="B10" s="9" t="str">
        <x:v>Module C; chất lượng, nhân lực, truyền thông</x:v>
      </x:c>
      <x:c r="C10" s="14" t="n">
        <x:v>58</x:v>
      </x:c>
      <x:c r="D10" s="14" t="n">
        <x:v>56</x:v>
      </x:c>
      <x:c r="E10" s="9" t="str">
        <x:v>Máy cá nhân, trình duyệt Chromium, .NET/PostgreSQL cho API</x:v>
      </x:c>
      <x:c r="F10" s="9" t="str">
        <x:v>Xác nhận giờ khả dụng và cấu hình đo trước khi nhận lịch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5" hidden="0" customWidth="1"/>
    <x:col min="4" max="4" width="17" hidden="0" customWidth="1"/>
    <x:col min="5" max="5" width="17" hidden="0" customWidth="1"/>
    <x:col min="6" max="6" width="28" hidden="0" customWidth="1"/>
    <x:col min="7" max="7" width="6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P12 — Lịch nguồn lực giả định</x:v>
      </x:c>
      <x:c r="B2" s="2"/>
      <x:c r="C2" s="2"/>
      <x:c r="D2" s="2"/>
      <x:c r="E2" s="2"/>
      <x:c r="F2" s="2"/>
      <x:c r="G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 t="str">
        <x:v>Ô xác nhận để trống đến khi thành viên cung cấp. Mục tiêu hồ sơ không phải dự báo hoàn tất toàn phần mềm.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10" t="str">
        <x:v>Người</x:v>
      </x:c>
      <x:c r="B7" s="11" t="str">
        <x:v>Bắt đầu kế hoạch</x:v>
      </x:c>
      <x:c r="C7" s="11" t="str">
        <x:v>Kết thúc cổng hồ sơ</x:v>
      </x:c>
      <x:c r="D7" s="11" t="str">
        <x:v>Giờ / tuần</x:v>
      </x:c>
      <x:c r="E7" s="11" t="str">
        <x:v>Ngày / tuần</x:v>
      </x:c>
      <x:c r="F7" s="11" t="str">
        <x:v>Giờ khả dụng xác nhận</x:v>
      </x:c>
      <x:c r="G7" s="12" t="str">
        <x:v>Trạng thái</x:v>
      </x:c>
    </x:row>
    <x:row r="8" ht="75" customHeight="1">
      <x:c r="A8" s="9" t="str">
        <x:v>Chiến</x:v>
      </x:c>
      <x:c r="B8" s="15" t="n">
        <x:v>46289</x:v>
      </x:c>
      <x:c r="C8" s="15" t="n">
        <x:v>46302</x:v>
      </x:c>
      <x:c r="D8" s="9" t="n">
        <x:v>10</x:v>
      </x:c>
      <x:c r="E8" s="9" t="n">
        <x:v>5</x:v>
      </x:c>
      <x:c r="F8" s="18" t="str"/>
      <x:c r="G8" s="9" t="str">
        <x:v>10h/tuần là giả định DEC-008; chưa có cam kết cá nhân</x:v>
      </x:c>
    </x:row>
    <x:row r="9" ht="75" customHeight="1">
      <x:c r="A9" s="9" t="str">
        <x:v>Việt Quang</x:v>
      </x:c>
      <x:c r="B9" s="15" t="n">
        <x:v>46289</x:v>
      </x:c>
      <x:c r="C9" s="15" t="n">
        <x:v>46302</x:v>
      </x:c>
      <x:c r="D9" s="9" t="n">
        <x:v>10</x:v>
      </x:c>
      <x:c r="E9" s="9" t="n">
        <x:v>5</x:v>
      </x:c>
      <x:c r="F9" s="18" t="str"/>
      <x:c r="G9" s="9" t="str">
        <x:v>10h/tuần là giả định DEC-008; chưa có cam kết cá nhân</x:v>
      </x:c>
    </x:row>
    <x:row r="10" ht="75" customHeight="1">
      <x:c r="A10" s="9" t="str">
        <x:v>Quang Anh</x:v>
      </x:c>
      <x:c r="B10" s="15" t="n">
        <x:v>46289</x:v>
      </x:c>
      <x:c r="C10" s="15" t="n">
        <x:v>46302</x:v>
      </x:c>
      <x:c r="D10" s="9" t="n">
        <x:v>10</x:v>
      </x:c>
      <x:c r="E10" s="9" t="n">
        <x:v>5</x:v>
      </x:c>
      <x:c r="F10" s="18" t="str"/>
      <x:c r="G10" s="9" t="str">
        <x:v>10h/tuần là giả định DEC-008; chưa có cam kết cá nhân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8" hidden="0" customWidth="1"/>
    <x:col min="2" max="2" width="25" hidden="0" customWidth="1"/>
    <x:col min="3" max="3" width="40" hidden="0" customWidth="1"/>
    <x:col min="4" max="4" width="44" hidden="0" customWidth="1"/>
    <x:col min="5" max="5" width="35" hidden="0" customWidth="1"/>
    <x:col min="6" max="6" width="50" hidden="0" customWidth="1"/>
    <x:col min="7" max="7" width="5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P12 — Kế hoạch trao đổi</x:v>
      </x:c>
      <x:c r="B2" s="2"/>
      <x:c r="C2" s="2"/>
      <x:c r="D2" s="2"/>
      <x:c r="E2" s="2"/>
      <x:c r="F2" s="2"/>
      <x:c r="G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10" t="str">
        <x:v>Nội dung</x:v>
      </x:c>
      <x:c r="B7" s="11" t="str">
        <x:v>Người gửi</x:v>
      </x:c>
      <x:c r="C7" s="11" t="str">
        <x:v>Người nhận</x:v>
      </x:c>
      <x:c r="D7" s="11" t="str">
        <x:v>Kênh</x:v>
      </x:c>
      <x:c r="E7" s="11" t="str">
        <x:v>Tần suất / hạn</x:v>
      </x:c>
      <x:c r="F7" s="11" t="str">
        <x:v>Đầu ra cần lưu</x:v>
      </x:c>
      <x:c r="G7" s="12" t="str">
        <x:v>Lý do</x:v>
      </x:c>
    </x:row>
    <x:row r="8" ht="95" customHeight="1">
      <x:c r="A8" s="9" t="str">
        <x:v>Tiến độ, giờ công, vướng mắc</x:v>
      </x:c>
      <x:c r="B8" s="9" t="str">
        <x:v>Mỗi chủ A/B/C</x:v>
      </x:c>
      <x:c r="C8" s="9" t="str">
        <x:v>Chiến và cả nhóm</x:v>
      </x:c>
      <x:c r="D8" s="9" t="str">
        <x:v>Tracker + nhật ký trong repository</x:v>
      </x:c>
      <x:c r="E8" s="9" t="str">
        <x:v>Mỗi ngày có làm việc, cập nhật trước 22:00</x:v>
      </x:c>
      <x:c r="F8" s="9" t="str">
        <x:v>E05; vấn đề mới vào M03</x:v>
      </x:c>
      <x:c r="G8" s="9" t="str">
        <x:v>Đủ dữ liệu kiểm soát, không khôi phục giờ giả</x:v>
      </x:c>
    </x:row>
    <x:row r="9" ht="95" customHeight="1">
      <x:c r="A9" s="9" t="str">
        <x:v>Review module A</x:v>
      </x:c>
      <x:c r="B9" s="9" t="str">
        <x:v>Chiến</x:v>
      </x:c>
      <x:c r="C9" s="9" t="str">
        <x:v>Việt Quang kiểm; Quang Anh xác nhận</x:v>
      </x:c>
      <x:c r="D9" s="9" t="str">
        <x:v>Tài liệu và phiếu review</x:v>
      </x:c>
      <x:c r="E9" s="9" t="str">
        <x:v>DOC-01 và mỗi bản thay đổi</x:v>
      </x:c>
      <x:c r="F9" s="9" t="str">
        <x:v>Nhận xét, bản sửa, bằng chứng kiểm lại</x:v>
      </x:c>
      <x:c r="G9" s="9" t="str">
        <x:v>Có góc nhìn độc lập tại giao tiếp A–B/C</x:v>
      </x:c>
    </x:row>
    <x:row r="10" ht="95" customHeight="1">
      <x:c r="A10" s="9" t="str">
        <x:v>Review module B</x:v>
      </x:c>
      <x:c r="B10" s="9" t="str">
        <x:v>Việt Quang</x:v>
      </x:c>
      <x:c r="C10" s="9" t="str">
        <x:v>Quang Anh kiểm; Chiến xác nhận</x:v>
      </x:c>
      <x:c r="D10" s="9" t="str">
        <x:v>Tài liệu và phiếu review</x:v>
      </x:c>
      <x:c r="E10" s="9" t="str">
        <x:v>DOC-01 và mỗi bản thay đổi</x:v>
      </x:c>
      <x:c r="F10" s="9" t="str">
        <x:v>Nhận xét, bản sửa, bằng chứng kiểm lại</x:v>
      </x:c>
      <x:c r="G10" s="9" t="str">
        <x:v>Giữ đúng quyền, quota, giả lập thanh toán</x:v>
      </x:c>
    </x:row>
    <x:row r="11" ht="95" customHeight="1">
      <x:c r="A11" s="9" t="str">
        <x:v>Review module C</x:v>
      </x:c>
      <x:c r="B11" s="9" t="str">
        <x:v>Quang Anh</x:v>
      </x:c>
      <x:c r="C11" s="9" t="str">
        <x:v>Chiến kiểm; Việt Quang xác nhận</x:v>
      </x:c>
      <x:c r="D11" s="9" t="str">
        <x:v>Tài liệu và phiếu review</x:v>
      </x:c>
      <x:c r="E11" s="9" t="str">
        <x:v>DOC-01 và mỗi bản thay đổi</x:v>
      </x:c>
      <x:c r="F11" s="9" t="str">
        <x:v>Nhận xét, bản sửa, bằng chứng kiểm lại</x:v>
      </x:c>
      <x:c r="G11" s="9" t="str">
        <x:v>Giữ đúng mẫu và quyền hỗ trợ</x:v>
      </x:c>
    </x:row>
    <x:row r="12" ht="95" customHeight="1">
      <x:c r="A12" s="9" t="str">
        <x:v>Kế hoạch ghép và lệch nguồn lực</x:v>
      </x:c>
      <x:c r="B12" s="9" t="str">
        <x:v>Việt Quang</x:v>
      </x:c>
      <x:c r="C12" s="9" t="str">
        <x:v>Chiến quyết định nội bộ; Quang Anh góp ý</x:v>
      </x:c>
      <x:c r="D12" s="9" t="str">
        <x:v>P10/P11 + M03</x:v>
      </x:c>
      <x:c r="E12" s="9" t="str">
        <x:v>DOC-02; khi forecast thay đổi</x:v>
      </x:c>
      <x:c r="F12" s="9" t="str">
        <x:v>Forecast, CR-G-001, quyết định</x:v>
      </x:c>
      <x:c r="G12" s="9" t="str">
        <x:v>Không lấy lịch Charter làm lịch khả thi</x:v>
      </x:c>
    </x:row>
    <x:row r="13" ht="95" customHeight="1">
      <x:c r="A13" s="9" t="str">
        <x:v>Hồ sơ nghiệm thu / thay đổi vượt thẩm quyền</x:v>
      </x:c>
      <x:c r="B13" s="9" t="str">
        <x:v>Chiến</x:v>
      </x:c>
      <x:c r="C13" s="9" t="str">
        <x:v>Vai trò phê duyệt theo Charter</x:v>
      </x:c>
      <x:c r="D13" s="9" t="str">
        <x:v>Hồ sơ theo quy định dự án</x:v>
      </x:c>
      <x:c r="E13" s="9" t="str">
        <x:v>Khi đủ bằng chứng; chưa có ngày nhận</x:v>
      </x:c>
      <x:c r="F13" s="9" t="str">
        <x:v>Yêu cầu phê duyệt và quyết định thật</x:v>
      </x:c>
      <x:c r="G13" s="9" t="str">
        <x:v>Không tự ký thay sponsor/khách hàng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3" hidden="0" customWidth="1"/>
    <x:col min="2" max="2" width="30" hidden="0" customWidth="1"/>
    <x:col min="3" max="3" width="30" hidden="0" customWidth="1"/>
    <x:col min="4" max="4" width="55" hidden="0" customWidth="1"/>
    <x:col min="5" max="5" width="21" hidden="0" customWidth="1"/>
    <x:col min="6" max="6" width="5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P12 — Tham gia của bên liên quan</x:v>
      </x:c>
      <x:c r="B2" s="2"/>
      <x:c r="C2" s="2"/>
      <x:c r="D2" s="2"/>
      <x:c r="E2" s="2"/>
      <x:c r="F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</x:row>
    <x:row r="5">
      <x:c r="A5" s="2" t="str">
        <x:v>C/D là Current/Desired trong engagement, không phải module hoặc ký hiệu RACI.</x:v>
      </x:c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40" customHeight="1">
      <x:c r="A7" s="10" t="str">
        <x:v>Bên liên quan / vai trò</x:v>
      </x:c>
      <x:c r="B7" s="11" t="str">
        <x:v>Mức hiện tại (C)</x:v>
      </x:c>
      <x:c r="C7" s="11" t="str">
        <x:v>Mức mong muốn (D)</x:v>
      </x:c>
      <x:c r="D7" s="11" t="str">
        <x:v>Cách tham gia</x:v>
      </x:c>
      <x:c r="E7" s="11" t="str">
        <x:v>Chủ theo dõi</x:v>
      </x:c>
      <x:c r="F7" s="12" t="str">
        <x:v>Bằng chứng</x:v>
      </x:c>
    </x:row>
    <x:row r="8" ht="85" customHeight="1">
      <x:c r="A8" s="9" t="str">
        <x:v>Chiến / trưởng nhóm</x:v>
      </x:c>
      <x:c r="B8" s="9" t="str">
        <x:v>Chưa đo chính thức</x:v>
      </x:c>
      <x:c r="C8" s="9" t="str">
        <x:v>Leading</x:v>
      </x:c>
      <x:c r="D8" s="9" t="str">
        <x:v>Điều phối các cổng hồ sơ và xử lý lệch</x:v>
      </x:c>
      <x:c r="E8" s="9" t="str">
        <x:v>Chiến</x:v>
      </x:c>
      <x:c r="F8" s="9" t="str">
        <x:v>Biên bản, quyết định, nội dung tích hợp</x:v>
      </x:c>
    </x:row>
    <x:row r="9" ht="85" customHeight="1">
      <x:c r="A9" s="9" t="str">
        <x:v>Việt Quang / module B</x:v>
      </x:c>
      <x:c r="B9" s="9" t="str">
        <x:v>Chưa đo chính thức</x:v>
      </x:c>
      <x:c r="C9" s="9" t="str">
        <x:v>Leading</x:v>
      </x:c>
      <x:c r="D9" s="9" t="str">
        <x:v>Giao dữ liệu B và lịch/chi phí/rủi ro</x:v>
      </x:c>
      <x:c r="E9" s="9" t="str">
        <x:v>Việt Quang</x:v>
      </x:c>
      <x:c r="F9" s="9" t="str">
        <x:v>B_01..05, P08/P10/P11/P13</x:v>
      </x:c>
    </x:row>
    <x:row r="10" ht="85" customHeight="1">
      <x:c r="A10" s="9" t="str">
        <x:v>Quang Anh / module C</x:v>
      </x:c>
      <x:c r="B10" s="9" t="str">
        <x:v>Chưa đo chính thức</x:v>
      </x:c>
      <x:c r="C10" s="9" t="str">
        <x:v>Leading</x:v>
      </x:c>
      <x:c r="D10" s="9" t="str">
        <x:v>Giao dữ liệu C và chất lượng/nguồn lực</x:v>
      </x:c>
      <x:c r="E10" s="9" t="str">
        <x:v>Quang Anh</x:v>
      </x:c>
      <x:c r="F10" s="9" t="str">
        <x:v>C_01..05, P06/P07/P12</x:v>
      </x:c>
    </x:row>
    <x:row r="11" ht="85" customHeight="1">
      <x:c r="A11" s="9" t="str">
        <x:v>Sponsor/khách hàng theo Charter</x:v>
      </x:c>
      <x:c r="B11" s="9" t="str">
        <x:v>Chưa có xác nhận mới</x:v>
      </x:c>
      <x:c r="C11" s="9" t="str">
        <x:v>Supportive</x:v>
      </x:c>
      <x:c r="D11" s="9" t="str">
        <x:v>Nhận hồ sơ vượt thẩm quyền và nghiệm thu</x:v>
      </x:c>
      <x:c r="E11" s="9" t="str">
        <x:v>Chiến</x:v>
      </x:c>
      <x:c r="F11" s="9" t="str">
        <x:v>Chưa có phê duyệt bổ sung</x:v>
      </x:c>
    </x:row>
    <x:row r="12" ht="85" customHeight="1">
      <x:c r="A12" s="9" t="str">
        <x:v>Giảng viên theo hồ sơ môn học</x:v>
      </x:c>
      <x:c r="B12" s="9" t="str">
        <x:v>Chưa có phản hồi kỳ này</x:v>
      </x:c>
      <x:c r="C12" s="9" t="str">
        <x:v>Supportive</x:v>
      </x:c>
      <x:c r="D12" s="9" t="str">
        <x:v>Nhận bộ nộp và câu hỏi cần làm rõ</x:v>
      </x:c>
      <x:c r="E12" s="9" t="str">
        <x:v>Chiến</x:v>
      </x:c>
      <x:c r="F12" s="9" t="str">
        <x:v>Không coi DOC-05 là hạn giảng viên đã xác nhận</x:v>
      </x:c>
    </x:row>
  </x:sheetData>
  <x:pageMargins left="0.7" right="0.7" top="0.75" bottom="0.75" header="0.3" footer="0.3"/>
</x:worksheet>
</file>